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EE33B93-012D-48FB-A801-ACE870CD45FF}" xr6:coauthVersionLast="47" xr6:coauthVersionMax="47" xr10:uidLastSave="{00000000-0000-0000-0000-000000000000}"/>
  <bookViews>
    <workbookView xWindow="43460" yWindow="1010" windowWidth="25250" windowHeight="18200" xr2:uid="{00000000-000D-0000-FFFF-FFFF00000000}"/>
  </bookViews>
  <sheets>
    <sheet name="Octu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" l="1"/>
  <c r="D58" i="1"/>
  <c r="D92" i="1" s="1"/>
  <c r="D94" i="1" s="1"/>
  <c r="K57" i="1"/>
  <c r="K58" i="1" s="1"/>
  <c r="K94" i="1" s="1"/>
  <c r="J57" i="1"/>
  <c r="J58" i="1" s="1"/>
  <c r="J94" i="1" s="1"/>
  <c r="I57" i="1"/>
  <c r="I58" i="1" s="1"/>
  <c r="I94" i="1" s="1"/>
  <c r="E57" i="1"/>
  <c r="E58" i="1" s="1"/>
  <c r="E9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E93" i="1" s="1"/>
  <c r="E94" i="1" l="1"/>
</calcChain>
</file>

<file path=xl/sharedStrings.xml><?xml version="1.0" encoding="utf-8"?>
<sst xmlns="http://schemas.openxmlformats.org/spreadsheetml/2006/main" count="114" uniqueCount="86">
  <si>
    <t xml:space="preserve"> </t>
  </si>
  <si>
    <t>CAJA  RUPIAS</t>
  </si>
  <si>
    <t>OCTOBER</t>
  </si>
  <si>
    <t>Hoja  1</t>
  </si>
  <si>
    <t>SHAIRILIN</t>
  </si>
  <si>
    <t>SINDHU</t>
  </si>
  <si>
    <t>ELISA</t>
  </si>
  <si>
    <t>Codigo</t>
  </si>
  <si>
    <t>Fecha</t>
  </si>
  <si>
    <t>CONCEPTO</t>
  </si>
  <si>
    <t>DEBE</t>
  </si>
  <si>
    <t>HABER</t>
  </si>
  <si>
    <t>SALDO</t>
  </si>
  <si>
    <t>Federal B.</t>
  </si>
  <si>
    <t>SBI</t>
  </si>
  <si>
    <t>Union Bank</t>
  </si>
  <si>
    <t>SALDO ANTERIOR</t>
  </si>
  <si>
    <t>Pork</t>
  </si>
  <si>
    <t>Frozen</t>
  </si>
  <si>
    <t>Vegetables</t>
  </si>
  <si>
    <t>Food items</t>
  </si>
  <si>
    <t>Beef</t>
  </si>
  <si>
    <t>Khasi dictionary</t>
  </si>
  <si>
    <t>Cilinder gas</t>
  </si>
  <si>
    <t>Chicken</t>
  </si>
  <si>
    <t>Tax interest</t>
  </si>
  <si>
    <t>Land -phone line</t>
  </si>
  <si>
    <t>Spray insects</t>
  </si>
  <si>
    <t>Mayonaice</t>
  </si>
  <si>
    <t>Taxi sr Shairilin rectreat</t>
  </si>
  <si>
    <t>Sr Shairilin retreat</t>
  </si>
  <si>
    <t>Tea powder</t>
  </si>
  <si>
    <t>Monthly milk</t>
  </si>
  <si>
    <t>Passport application Sarita</t>
  </si>
  <si>
    <t>Photo passport Sarita</t>
  </si>
  <si>
    <t>Funds deposited into Sr. Shairilin's account</t>
  </si>
  <si>
    <t>Payment fees Sr Sindhu University MLCU</t>
  </si>
  <si>
    <t>Donation-Salary Sr Elisa</t>
  </si>
  <si>
    <t>Salary Sr Elisa SSCenter</t>
  </si>
  <si>
    <t>Sweets</t>
  </si>
  <si>
    <t>Cake sr Elisa´s birthday</t>
  </si>
  <si>
    <t>Recharge movile sr Shindu</t>
  </si>
  <si>
    <t>Electricity bill</t>
  </si>
  <si>
    <t>Print documents passport Sarita</t>
  </si>
  <si>
    <t>Maida</t>
  </si>
  <si>
    <t>Water tank repair- Labor</t>
  </si>
  <si>
    <t>Repair material</t>
  </si>
  <si>
    <t>Bleaching powder</t>
  </si>
  <si>
    <t>Books- Bible for wedding gift</t>
  </si>
  <si>
    <t>Newspaper monthly</t>
  </si>
  <si>
    <t>Chart paper</t>
  </si>
  <si>
    <t>Repair material water tank</t>
  </si>
  <si>
    <t>Transportation workers to repair tank</t>
  </si>
  <si>
    <t>Sand net</t>
  </si>
  <si>
    <t>Trabsportation for collecting stones</t>
  </si>
  <si>
    <t>Sumas y Saldo</t>
  </si>
  <si>
    <t>N.</t>
  </si>
  <si>
    <t>Contab.</t>
  </si>
  <si>
    <t>Sumas Anteriores y Saldo</t>
  </si>
  <si>
    <t>Registro</t>
  </si>
  <si>
    <t>Chana</t>
  </si>
  <si>
    <t>Fish</t>
  </si>
  <si>
    <t>Change Euros 2000x96=192.000</t>
  </si>
  <si>
    <t>Flowers chapel</t>
  </si>
  <si>
    <t>Meat</t>
  </si>
  <si>
    <t>Repair material tank water</t>
  </si>
  <si>
    <t>Sugar</t>
  </si>
  <si>
    <t>Recollection payment to priest</t>
  </si>
  <si>
    <t>Eye glasses Sarita</t>
  </si>
  <si>
    <t>Atta</t>
  </si>
  <si>
    <t>Stationery: envelopes</t>
  </si>
  <si>
    <t>Mass stipend</t>
  </si>
  <si>
    <t>Personal expenses sr Juliana</t>
  </si>
  <si>
    <t>Stationery</t>
  </si>
  <si>
    <t>Sanitary material</t>
  </si>
  <si>
    <t>Dental care- Sr Shairilin</t>
  </si>
  <si>
    <t>Travelling St Mary´s College</t>
  </si>
  <si>
    <t>Monthly mass offered</t>
  </si>
  <si>
    <t>Personal expenses sr Elisa</t>
  </si>
  <si>
    <t>Personal expenses sr Shindu</t>
  </si>
  <si>
    <t>San-ker internship</t>
  </si>
  <si>
    <t>Travelling University MLCU</t>
  </si>
  <si>
    <t>Monthly expenses Food</t>
  </si>
  <si>
    <t>Travelling Mawiong- PJV</t>
  </si>
  <si>
    <t>Monthly travelling</t>
  </si>
  <si>
    <t xml:space="preserve">Monthly Travelling Shanti Bhavan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</si>
</sst>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mm/dd/yy;@"/>
    <numFmt numFmtId="166" formatCode="[$-4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  <font>
      <b/>
      <sz val="11"/>
      <color rgb="FF8C005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8CDD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3FAFB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4" fontId="2" fillId="0" borderId="0" xfId="0" applyNumberFormat="1" applyFont="1"/>
    <xf numFmtId="4" fontId="4" fillId="0" borderId="0" xfId="0" applyNumberFormat="1" applyFont="1"/>
    <xf numFmtId="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5" fillId="2" borderId="0" xfId="1" applyNumberFormat="1" applyFont="1" applyFill="1" applyBorder="1" applyAlignment="1">
      <alignment horizontal="center"/>
    </xf>
    <xf numFmtId="4" fontId="5" fillId="3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2" xfId="1" applyNumberFormat="1" applyFont="1" applyFill="1" applyBorder="1" applyAlignment="1">
      <alignment horizontal="center"/>
    </xf>
    <xf numFmtId="164" fontId="4" fillId="4" borderId="2" xfId="1" applyFont="1" applyFill="1" applyBorder="1" applyAlignment="1">
      <alignment horizontal="center"/>
    </xf>
    <xf numFmtId="4" fontId="4" fillId="4" borderId="2" xfId="1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3" fontId="5" fillId="6" borderId="5" xfId="0" applyNumberFormat="1" applyFont="1" applyFill="1" applyBorder="1" applyAlignment="1">
      <alignment horizontal="center"/>
    </xf>
    <xf numFmtId="4" fontId="4" fillId="3" borderId="5" xfId="1" applyNumberFormat="1" applyFont="1" applyFill="1" applyBorder="1" applyAlignment="1">
      <alignment horizontal="center"/>
    </xf>
    <xf numFmtId="4" fontId="4" fillId="6" borderId="5" xfId="1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1" applyNumberFormat="1" applyFont="1" applyFill="1" applyBorder="1" applyAlignment="1">
      <alignment horizontal="center"/>
    </xf>
    <xf numFmtId="164" fontId="4" fillId="4" borderId="7" xfId="1" applyFont="1" applyFill="1" applyBorder="1"/>
    <xf numFmtId="4" fontId="2" fillId="4" borderId="7" xfId="1" applyNumberFormat="1" applyFont="1" applyFill="1" applyBorder="1" applyAlignment="1">
      <alignment horizontal="right"/>
    </xf>
    <xf numFmtId="4" fontId="4" fillId="4" borderId="7" xfId="1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4" fontId="2" fillId="4" borderId="9" xfId="1" applyNumberFormat="1" applyFont="1" applyFill="1" applyBorder="1" applyAlignment="1">
      <alignment horizontal="right"/>
    </xf>
    <xf numFmtId="4" fontId="2" fillId="3" borderId="9" xfId="1" applyNumberFormat="1" applyFont="1" applyFill="1" applyBorder="1" applyAlignment="1">
      <alignment horizontal="right"/>
    </xf>
    <xf numFmtId="0" fontId="2" fillId="2" borderId="10" xfId="0" applyFont="1" applyFill="1" applyBorder="1"/>
    <xf numFmtId="164" fontId="6" fillId="2" borderId="10" xfId="1" applyFont="1" applyFill="1" applyBorder="1"/>
    <xf numFmtId="4" fontId="6" fillId="2" borderId="10" xfId="1" applyNumberFormat="1" applyFont="1" applyFill="1" applyBorder="1" applyAlignment="1">
      <alignment horizontal="right"/>
    </xf>
    <xf numFmtId="4" fontId="2" fillId="2" borderId="10" xfId="1" applyNumberFormat="1" applyFont="1" applyFill="1" applyBorder="1" applyAlignment="1">
      <alignment horizontal="right"/>
    </xf>
    <xf numFmtId="4" fontId="2" fillId="0" borderId="10" xfId="1" applyNumberFormat="1" applyFont="1" applyBorder="1" applyAlignment="1">
      <alignment horizontal="right"/>
    </xf>
    <xf numFmtId="0" fontId="2" fillId="0" borderId="11" xfId="0" applyFont="1" applyBorder="1"/>
    <xf numFmtId="0" fontId="2" fillId="5" borderId="12" xfId="0" applyFont="1" applyFill="1" applyBorder="1"/>
    <xf numFmtId="3" fontId="4" fillId="0" borderId="12" xfId="0" applyNumberFormat="1" applyFont="1" applyBorder="1" applyAlignment="1">
      <alignment horizontal="center"/>
    </xf>
    <xf numFmtId="4" fontId="2" fillId="3" borderId="12" xfId="1" applyNumberFormat="1" applyFont="1" applyFill="1" applyBorder="1" applyAlignment="1">
      <alignment horizontal="center"/>
    </xf>
    <xf numFmtId="4" fontId="2" fillId="0" borderId="12" xfId="1" applyNumberFormat="1" applyFont="1" applyBorder="1" applyAlignment="1">
      <alignment horizontal="right"/>
    </xf>
    <xf numFmtId="0" fontId="2" fillId="2" borderId="13" xfId="0" applyFont="1" applyFill="1" applyBorder="1"/>
    <xf numFmtId="164" fontId="2" fillId="2" borderId="13" xfId="1" applyFont="1" applyFill="1" applyBorder="1"/>
    <xf numFmtId="4" fontId="2" fillId="2" borderId="13" xfId="1" applyNumberFormat="1" applyFont="1" applyFill="1" applyBorder="1" applyAlignment="1">
      <alignment horizontal="right"/>
    </xf>
    <xf numFmtId="0" fontId="2" fillId="0" borderId="14" xfId="0" applyFont="1" applyBorder="1"/>
    <xf numFmtId="0" fontId="2" fillId="5" borderId="15" xfId="0" applyFont="1" applyFill="1" applyBorder="1"/>
    <xf numFmtId="4" fontId="2" fillId="0" borderId="12" xfId="0" applyNumberFormat="1" applyFont="1" applyBorder="1"/>
    <xf numFmtId="164" fontId="2" fillId="2" borderId="13" xfId="1" applyFont="1" applyFill="1" applyBorder="1" applyAlignment="1">
      <alignment horizontal="left"/>
    </xf>
    <xf numFmtId="4" fontId="2" fillId="0" borderId="15" xfId="0" applyNumberFormat="1" applyFont="1" applyBorder="1"/>
    <xf numFmtId="0" fontId="2" fillId="2" borderId="0" xfId="0" applyFont="1" applyFill="1"/>
    <xf numFmtId="166" fontId="2" fillId="2" borderId="16" xfId="1" applyNumberFormat="1" applyFont="1" applyFill="1" applyBorder="1" applyAlignment="1">
      <alignment horizontal="left"/>
    </xf>
    <xf numFmtId="164" fontId="2" fillId="2" borderId="16" xfId="1" applyFont="1" applyFill="1" applyBorder="1" applyAlignment="1">
      <alignment horizontal="left"/>
    </xf>
    <xf numFmtId="164" fontId="2" fillId="2" borderId="16" xfId="1" applyFont="1" applyFill="1" applyBorder="1"/>
    <xf numFmtId="164" fontId="6" fillId="2" borderId="13" xfId="1" applyFont="1" applyFill="1" applyBorder="1"/>
    <xf numFmtId="0" fontId="2" fillId="0" borderId="17" xfId="0" applyFont="1" applyBorder="1"/>
    <xf numFmtId="0" fontId="2" fillId="3" borderId="0" xfId="0" applyFont="1" applyFill="1"/>
    <xf numFmtId="0" fontId="2" fillId="7" borderId="17" xfId="0" applyFont="1" applyFill="1" applyBorder="1"/>
    <xf numFmtId="0" fontId="2" fillId="7" borderId="13" xfId="0" applyFont="1" applyFill="1" applyBorder="1"/>
    <xf numFmtId="164" fontId="2" fillId="7" borderId="13" xfId="1" applyFont="1" applyFill="1" applyBorder="1"/>
    <xf numFmtId="4" fontId="2" fillId="7" borderId="13" xfId="1" applyNumberFormat="1" applyFont="1" applyFill="1" applyBorder="1" applyAlignment="1">
      <alignment horizontal="right"/>
    </xf>
    <xf numFmtId="4" fontId="2" fillId="7" borderId="10" xfId="1" applyNumberFormat="1" applyFont="1" applyFill="1" applyBorder="1" applyAlignment="1">
      <alignment horizontal="right"/>
    </xf>
    <xf numFmtId="0" fontId="2" fillId="7" borderId="14" xfId="0" applyFont="1" applyFill="1" applyBorder="1"/>
    <xf numFmtId="0" fontId="2" fillId="7" borderId="15" xfId="0" applyFont="1" applyFill="1" applyBorder="1"/>
    <xf numFmtId="4" fontId="2" fillId="7" borderId="15" xfId="0" applyNumberFormat="1" applyFont="1" applyFill="1" applyBorder="1"/>
    <xf numFmtId="4" fontId="2" fillId="7" borderId="12" xfId="1" applyNumberFormat="1" applyFont="1" applyFill="1" applyBorder="1" applyAlignment="1">
      <alignment horizontal="right"/>
    </xf>
    <xf numFmtId="164" fontId="2" fillId="7" borderId="16" xfId="1" applyFont="1" applyFill="1" applyBorder="1"/>
    <xf numFmtId="4" fontId="6" fillId="2" borderId="13" xfId="1" applyNumberFormat="1" applyFont="1" applyFill="1" applyBorder="1" applyAlignment="1">
      <alignment horizontal="right"/>
    </xf>
    <xf numFmtId="0" fontId="2" fillId="0" borderId="13" xfId="0" applyFont="1" applyBorder="1"/>
    <xf numFmtId="4" fontId="2" fillId="8" borderId="13" xfId="1" applyNumberFormat="1" applyFont="1" applyFill="1" applyBorder="1" applyAlignment="1">
      <alignment horizontal="right"/>
    </xf>
    <xf numFmtId="164" fontId="2" fillId="8" borderId="13" xfId="1" applyFont="1" applyFill="1" applyBorder="1"/>
    <xf numFmtId="4" fontId="2" fillId="0" borderId="18" xfId="1" applyNumberFormat="1" applyFont="1" applyBorder="1" applyAlignment="1">
      <alignment horizontal="right"/>
    </xf>
    <xf numFmtId="4" fontId="2" fillId="2" borderId="18" xfId="1" applyNumberFormat="1" applyFont="1" applyFill="1" applyBorder="1" applyAlignment="1">
      <alignment horizontal="right"/>
    </xf>
    <xf numFmtId="164" fontId="2" fillId="8" borderId="13" xfId="1" applyFont="1" applyFill="1" applyBorder="1" applyAlignment="1">
      <alignment horizontal="left"/>
    </xf>
    <xf numFmtId="0" fontId="7" fillId="0" borderId="13" xfId="0" applyFont="1" applyBorder="1"/>
    <xf numFmtId="0" fontId="6" fillId="0" borderId="13" xfId="0" applyFont="1" applyBorder="1"/>
    <xf numFmtId="0" fontId="6" fillId="0" borderId="0" xfId="0" applyFont="1"/>
    <xf numFmtId="4" fontId="2" fillId="2" borderId="15" xfId="0" applyNumberFormat="1" applyFont="1" applyFill="1" applyBorder="1"/>
    <xf numFmtId="4" fontId="2" fillId="0" borderId="15" xfId="1" applyNumberFormat="1" applyFont="1" applyBorder="1" applyAlignment="1">
      <alignment horizontal="right"/>
    </xf>
    <xf numFmtId="4" fontId="2" fillId="2" borderId="19" xfId="0" applyNumberFormat="1" applyFont="1" applyFill="1" applyBorder="1"/>
    <xf numFmtId="4" fontId="2" fillId="3" borderId="19" xfId="0" applyNumberFormat="1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21" xfId="1" applyNumberFormat="1" applyFont="1" applyFill="1" applyBorder="1" applyAlignment="1">
      <alignment horizontal="center"/>
    </xf>
    <xf numFmtId="164" fontId="2" fillId="4" borderId="21" xfId="1" applyFont="1" applyFill="1" applyBorder="1"/>
    <xf numFmtId="4" fontId="2" fillId="4" borderId="21" xfId="1" applyNumberFormat="1" applyFont="1" applyFill="1" applyBorder="1" applyAlignment="1">
      <alignment horizontal="right"/>
    </xf>
    <xf numFmtId="0" fontId="4" fillId="4" borderId="22" xfId="0" applyFont="1" applyFill="1" applyBorder="1" applyAlignment="1">
      <alignment horizontal="center"/>
    </xf>
    <xf numFmtId="4" fontId="2" fillId="9" borderId="5" xfId="0" applyNumberFormat="1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24" xfId="1" applyNumberFormat="1" applyFont="1" applyFill="1" applyBorder="1" applyAlignment="1">
      <alignment horizontal="center"/>
    </xf>
    <xf numFmtId="164" fontId="2" fillId="4" borderId="24" xfId="1" applyFont="1" applyFill="1" applyBorder="1"/>
    <xf numFmtId="4" fontId="2" fillId="4" borderId="24" xfId="1" applyNumberFormat="1" applyFont="1" applyFill="1" applyBorder="1" applyAlignment="1">
      <alignment horizontal="right"/>
    </xf>
    <xf numFmtId="0" fontId="4" fillId="4" borderId="25" xfId="0" applyFont="1" applyFill="1" applyBorder="1" applyAlignment="1">
      <alignment horizontal="center"/>
    </xf>
    <xf numFmtId="4" fontId="2" fillId="9" borderId="5" xfId="1" applyNumberFormat="1" applyFont="1" applyFill="1" applyBorder="1" applyAlignment="1">
      <alignment horizontal="right"/>
    </xf>
    <xf numFmtId="0" fontId="4" fillId="2" borderId="10" xfId="1" applyNumberFormat="1" applyFont="1" applyFill="1" applyBorder="1" applyAlignment="1">
      <alignment horizontal="center"/>
    </xf>
    <xf numFmtId="164" fontId="2" fillId="2" borderId="10" xfId="1" applyFont="1" applyFill="1" applyBorder="1"/>
    <xf numFmtId="0" fontId="4" fillId="2" borderId="11" xfId="0" applyFont="1" applyFill="1" applyBorder="1" applyAlignment="1">
      <alignment horizontal="center"/>
    </xf>
    <xf numFmtId="4" fontId="2" fillId="2" borderId="12" xfId="0" applyNumberFormat="1" applyFont="1" applyFill="1" applyBorder="1"/>
    <xf numFmtId="4" fontId="2" fillId="2" borderId="12" xfId="1" applyNumberFormat="1" applyFont="1" applyFill="1" applyBorder="1" applyAlignment="1">
      <alignment horizontal="right"/>
    </xf>
    <xf numFmtId="0" fontId="2" fillId="0" borderId="10" xfId="0" applyFont="1" applyBorder="1"/>
    <xf numFmtId="4" fontId="2" fillId="8" borderId="26" xfId="0" applyNumberFormat="1" applyFont="1" applyFill="1" applyBorder="1"/>
    <xf numFmtId="0" fontId="7" fillId="8" borderId="13" xfId="0" applyFont="1" applyFill="1" applyBorder="1" applyAlignment="1">
      <alignment horizontal="left"/>
    </xf>
    <xf numFmtId="4" fontId="2" fillId="8" borderId="27" xfId="0" applyNumberFormat="1" applyFont="1" applyFill="1" applyBorder="1"/>
    <xf numFmtId="0" fontId="7" fillId="0" borderId="13" xfId="0" applyFont="1" applyBorder="1" applyAlignment="1">
      <alignment horizontal="left"/>
    </xf>
    <xf numFmtId="0" fontId="2" fillId="8" borderId="13" xfId="0" applyFont="1" applyFill="1" applyBorder="1" applyAlignment="1">
      <alignment horizontal="left"/>
    </xf>
    <xf numFmtId="166" fontId="2" fillId="2" borderId="13" xfId="1" applyNumberFormat="1" applyFont="1" applyFill="1" applyBorder="1" applyAlignment="1"/>
    <xf numFmtId="4" fontId="2" fillId="8" borderId="15" xfId="0" applyNumberFormat="1" applyFont="1" applyFill="1" applyBorder="1"/>
    <xf numFmtId="0" fontId="2" fillId="8" borderId="17" xfId="0" applyFont="1" applyFill="1" applyBorder="1"/>
    <xf numFmtId="0" fontId="7" fillId="8" borderId="13" xfId="0" applyFont="1" applyFill="1" applyBorder="1"/>
    <xf numFmtId="0" fontId="2" fillId="8" borderId="13" xfId="0" applyFont="1" applyFill="1" applyBorder="1"/>
    <xf numFmtId="4" fontId="8" fillId="3" borderId="10" xfId="1" applyNumberFormat="1" applyFont="1" applyFill="1" applyBorder="1" applyAlignment="1">
      <alignment horizontal="right"/>
    </xf>
    <xf numFmtId="4" fontId="2" fillId="10" borderId="13" xfId="1" applyNumberFormat="1" applyFont="1" applyFill="1" applyBorder="1" applyAlignment="1">
      <alignment horizontal="right"/>
    </xf>
    <xf numFmtId="4" fontId="9" fillId="7" borderId="13" xfId="1" applyNumberFormat="1" applyFont="1" applyFill="1" applyBorder="1" applyAlignment="1">
      <alignment horizontal="right"/>
    </xf>
    <xf numFmtId="4" fontId="9" fillId="7" borderId="5" xfId="0" applyNumberFormat="1" applyFont="1" applyFill="1" applyBorder="1"/>
    <xf numFmtId="0" fontId="2" fillId="8" borderId="0" xfId="0" applyFont="1" applyFill="1"/>
    <xf numFmtId="166" fontId="2" fillId="8" borderId="13" xfId="1" applyNumberFormat="1" applyFont="1" applyFill="1" applyBorder="1" applyAlignment="1">
      <alignment horizontal="center"/>
    </xf>
    <xf numFmtId="166" fontId="2" fillId="0" borderId="13" xfId="1" applyNumberFormat="1" applyFont="1" applyBorder="1" applyAlignment="1">
      <alignment horizontal="center"/>
    </xf>
    <xf numFmtId="164" fontId="2" fillId="0" borderId="13" xfId="1" applyFont="1" applyBorder="1"/>
    <xf numFmtId="4" fontId="2" fillId="0" borderId="13" xfId="1" applyNumberFormat="1" applyFont="1" applyBorder="1" applyAlignment="1">
      <alignment horizontal="right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17</xdr:row>
      <xdr:rowOff>152400</xdr:rowOff>
    </xdr:from>
    <xdr:to>
      <xdr:col>8</xdr:col>
      <xdr:colOff>356616</xdr:colOff>
      <xdr:row>18</xdr:row>
      <xdr:rowOff>889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150100" y="3435350"/>
          <a:ext cx="89916" cy="26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266700</xdr:colOff>
      <xdr:row>19</xdr:row>
      <xdr:rowOff>152400</xdr:rowOff>
    </xdr:from>
    <xdr:to>
      <xdr:col>9</xdr:col>
      <xdr:colOff>425196</xdr:colOff>
      <xdr:row>19</xdr:row>
      <xdr:rowOff>156591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58496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11</xdr:col>
      <xdr:colOff>0</xdr:colOff>
      <xdr:row>19</xdr:row>
      <xdr:rowOff>156591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15748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11</xdr:col>
      <xdr:colOff>0</xdr:colOff>
      <xdr:row>19</xdr:row>
      <xdr:rowOff>156591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15748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266700</xdr:colOff>
      <xdr:row>19</xdr:row>
      <xdr:rowOff>152400</xdr:rowOff>
    </xdr:from>
    <xdr:to>
      <xdr:col>9</xdr:col>
      <xdr:colOff>425196</xdr:colOff>
      <xdr:row>19</xdr:row>
      <xdr:rowOff>156591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58496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266700</xdr:colOff>
      <xdr:row>19</xdr:row>
      <xdr:rowOff>152400</xdr:rowOff>
    </xdr:from>
    <xdr:to>
      <xdr:col>9</xdr:col>
      <xdr:colOff>425196</xdr:colOff>
      <xdr:row>19</xdr:row>
      <xdr:rowOff>156591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58496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11</xdr:col>
      <xdr:colOff>0</xdr:colOff>
      <xdr:row>19</xdr:row>
      <xdr:rowOff>156591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15748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0</xdr:colOff>
      <xdr:row>21</xdr:row>
      <xdr:rowOff>152400</xdr:rowOff>
    </xdr:from>
    <xdr:ext cx="76200" cy="200025"/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7810500" y="41465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9</xdr:col>
      <xdr:colOff>266700</xdr:colOff>
      <xdr:row>19</xdr:row>
      <xdr:rowOff>152400</xdr:rowOff>
    </xdr:from>
    <xdr:to>
      <xdr:col>9</xdr:col>
      <xdr:colOff>425196</xdr:colOff>
      <xdr:row>19</xdr:row>
      <xdr:rowOff>156591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58496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11</xdr:col>
      <xdr:colOff>0</xdr:colOff>
      <xdr:row>19</xdr:row>
      <xdr:rowOff>156591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15748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11</xdr:col>
      <xdr:colOff>0</xdr:colOff>
      <xdr:row>19</xdr:row>
      <xdr:rowOff>156591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15748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266700</xdr:colOff>
      <xdr:row>19</xdr:row>
      <xdr:rowOff>152400</xdr:rowOff>
    </xdr:from>
    <xdr:to>
      <xdr:col>9</xdr:col>
      <xdr:colOff>425196</xdr:colOff>
      <xdr:row>19</xdr:row>
      <xdr:rowOff>156591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58496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9</xdr:col>
      <xdr:colOff>76200</xdr:colOff>
      <xdr:row>19</xdr:row>
      <xdr:rowOff>156591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762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0</xdr:colOff>
      <xdr:row>21</xdr:row>
      <xdr:rowOff>152400</xdr:rowOff>
    </xdr:from>
    <xdr:ext cx="76200" cy="200025"/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810500" y="41465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9</xdr:col>
      <xdr:colOff>266700</xdr:colOff>
      <xdr:row>19</xdr:row>
      <xdr:rowOff>152400</xdr:rowOff>
    </xdr:from>
    <xdr:to>
      <xdr:col>9</xdr:col>
      <xdr:colOff>438912</xdr:colOff>
      <xdr:row>19</xdr:row>
      <xdr:rowOff>156591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72212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9</xdr:col>
      <xdr:colOff>76200</xdr:colOff>
      <xdr:row>19</xdr:row>
      <xdr:rowOff>156591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762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152400</xdr:rowOff>
    </xdr:from>
    <xdr:to>
      <xdr:col>9</xdr:col>
      <xdr:colOff>76200</xdr:colOff>
      <xdr:row>19</xdr:row>
      <xdr:rowOff>156591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7810500" y="3790950"/>
          <a:ext cx="76200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266700</xdr:colOff>
      <xdr:row>19</xdr:row>
      <xdr:rowOff>152400</xdr:rowOff>
    </xdr:from>
    <xdr:to>
      <xdr:col>9</xdr:col>
      <xdr:colOff>438912</xdr:colOff>
      <xdr:row>19</xdr:row>
      <xdr:rowOff>156591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8077200" y="3790950"/>
          <a:ext cx="172212" cy="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A55" workbookViewId="0">
      <selection activeCell="S72" sqref="S72"/>
    </sheetView>
  </sheetViews>
  <sheetFormatPr baseColWidth="10" defaultColWidth="10.453125" defaultRowHeight="14" x14ac:dyDescent="0.3"/>
  <cols>
    <col min="1" max="1" width="10.81640625" style="1" customWidth="1"/>
    <col min="2" max="2" width="9" style="2" customWidth="1"/>
    <col min="3" max="3" width="31.54296875" style="1" customWidth="1"/>
    <col min="4" max="5" width="11.54296875" style="4" customWidth="1"/>
    <col min="6" max="6" width="12.54296875" style="4" customWidth="1"/>
    <col min="7" max="7" width="9.81640625" style="1" customWidth="1"/>
    <col min="8" max="8" width="1.7265625" style="1" customWidth="1"/>
    <col min="9" max="9" width="13.26953125" style="4" customWidth="1"/>
    <col min="10" max="11" width="13" style="4" customWidth="1"/>
    <col min="12" max="16384" width="10.453125" style="1"/>
  </cols>
  <sheetData>
    <row r="1" spans="1:11" ht="26.25" customHeight="1" thickBot="1" x14ac:dyDescent="0.45">
      <c r="A1" s="1" t="s">
        <v>0</v>
      </c>
      <c r="C1" s="3" t="s">
        <v>1</v>
      </c>
      <c r="E1" s="5" t="s">
        <v>2</v>
      </c>
      <c r="F1" s="6" t="s">
        <v>3</v>
      </c>
      <c r="G1" s="7">
        <v>2025</v>
      </c>
      <c r="H1" s="7"/>
      <c r="I1" s="8" t="s">
        <v>4</v>
      </c>
      <c r="J1" s="9" t="s">
        <v>5</v>
      </c>
      <c r="K1" s="10" t="s">
        <v>6</v>
      </c>
    </row>
    <row r="2" spans="1:11" ht="20.25" customHeight="1" thickBot="1" x14ac:dyDescent="0.35">
      <c r="A2" s="11" t="s">
        <v>7</v>
      </c>
      <c r="B2" s="12" t="s">
        <v>8</v>
      </c>
      <c r="C2" s="13" t="s">
        <v>9</v>
      </c>
      <c r="D2" s="14" t="s">
        <v>10</v>
      </c>
      <c r="E2" s="14" t="s">
        <v>11</v>
      </c>
      <c r="F2" s="14" t="s">
        <v>12</v>
      </c>
      <c r="G2" s="15" t="s">
        <v>7</v>
      </c>
      <c r="H2" s="16"/>
      <c r="I2" s="17" t="s">
        <v>13</v>
      </c>
      <c r="J2" s="18" t="s">
        <v>14</v>
      </c>
      <c r="K2" s="19" t="s">
        <v>15</v>
      </c>
    </row>
    <row r="3" spans="1:11" ht="16.5" customHeight="1" thickBot="1" x14ac:dyDescent="0.35">
      <c r="A3" s="20" t="s">
        <v>10</v>
      </c>
      <c r="B3" s="21">
        <v>2025</v>
      </c>
      <c r="C3" s="22" t="s">
        <v>16</v>
      </c>
      <c r="D3" s="23"/>
      <c r="E3" s="24"/>
      <c r="F3" s="24">
        <v>216764.01</v>
      </c>
      <c r="G3" s="25" t="s">
        <v>11</v>
      </c>
      <c r="H3" s="26"/>
      <c r="I3" s="27">
        <v>11462.300000000003</v>
      </c>
      <c r="J3" s="28">
        <v>5109.1400000000012</v>
      </c>
      <c r="K3" s="27">
        <v>31492.51</v>
      </c>
    </row>
    <row r="4" spans="1:11" x14ac:dyDescent="0.3">
      <c r="A4" s="29">
        <v>45931</v>
      </c>
      <c r="B4" s="29"/>
      <c r="C4" s="30" t="s">
        <v>17</v>
      </c>
      <c r="D4" s="31"/>
      <c r="E4" s="32">
        <v>700</v>
      </c>
      <c r="F4" s="33">
        <f>(F3+D4-E4)</f>
        <v>216064.01</v>
      </c>
      <c r="G4" s="34"/>
      <c r="H4" s="35"/>
      <c r="I4" s="36"/>
      <c r="J4" s="37" t="s">
        <v>18</v>
      </c>
      <c r="K4" s="38"/>
    </row>
    <row r="5" spans="1:11" x14ac:dyDescent="0.3">
      <c r="A5" s="29">
        <v>45932</v>
      </c>
      <c r="B5" s="39"/>
      <c r="C5" s="40" t="s">
        <v>19</v>
      </c>
      <c r="D5" s="41"/>
      <c r="E5" s="41">
        <v>2030</v>
      </c>
      <c r="F5" s="33">
        <f t="shared" ref="F5:F56" si="0">(F4+D5-E5)</f>
        <v>214034.01</v>
      </c>
      <c r="G5" s="42"/>
      <c r="H5" s="43"/>
      <c r="I5" s="44"/>
      <c r="J5" s="38"/>
      <c r="K5" s="38"/>
    </row>
    <row r="6" spans="1:11" x14ac:dyDescent="0.3">
      <c r="A6" s="29">
        <v>45932</v>
      </c>
      <c r="B6" s="39"/>
      <c r="C6" s="40" t="s">
        <v>20</v>
      </c>
      <c r="D6" s="41"/>
      <c r="E6" s="41">
        <v>510</v>
      </c>
      <c r="F6" s="33">
        <f t="shared" si="0"/>
        <v>213524.01</v>
      </c>
      <c r="G6" s="42"/>
      <c r="H6" s="43"/>
      <c r="I6" s="44"/>
      <c r="J6" s="38"/>
      <c r="K6" s="38"/>
    </row>
    <row r="7" spans="1:11" x14ac:dyDescent="0.3">
      <c r="A7" s="29">
        <v>45934</v>
      </c>
      <c r="B7" s="39"/>
      <c r="C7" s="45" t="s">
        <v>21</v>
      </c>
      <c r="D7" s="41"/>
      <c r="E7" s="41">
        <v>750</v>
      </c>
      <c r="F7" s="33">
        <f t="shared" si="0"/>
        <v>212774.01</v>
      </c>
      <c r="G7" s="42"/>
      <c r="H7" s="43"/>
      <c r="I7" s="46"/>
      <c r="J7" s="38"/>
      <c r="K7" s="38"/>
    </row>
    <row r="8" spans="1:11" x14ac:dyDescent="0.3">
      <c r="A8" s="29">
        <v>45936</v>
      </c>
      <c r="B8" s="39"/>
      <c r="C8" s="47" t="s">
        <v>22</v>
      </c>
      <c r="D8" s="41"/>
      <c r="E8" s="41">
        <v>700</v>
      </c>
      <c r="F8" s="33">
        <f t="shared" si="0"/>
        <v>212074.01</v>
      </c>
      <c r="G8" s="42"/>
      <c r="H8" s="43"/>
      <c r="I8" s="46"/>
      <c r="J8" s="38"/>
      <c r="K8" s="38"/>
    </row>
    <row r="9" spans="1:11" x14ac:dyDescent="0.3">
      <c r="A9" s="29">
        <v>45936</v>
      </c>
      <c r="B9" s="39"/>
      <c r="C9" s="48" t="s">
        <v>23</v>
      </c>
      <c r="D9" s="41"/>
      <c r="E9" s="41">
        <v>950</v>
      </c>
      <c r="F9" s="33">
        <f t="shared" si="0"/>
        <v>211124.01</v>
      </c>
      <c r="G9" s="42"/>
      <c r="H9" s="43"/>
      <c r="I9" s="46"/>
      <c r="J9" s="38"/>
      <c r="K9" s="38"/>
    </row>
    <row r="10" spans="1:11" x14ac:dyDescent="0.3">
      <c r="A10" s="29">
        <v>45936</v>
      </c>
      <c r="B10" s="39"/>
      <c r="C10" s="49" t="s">
        <v>24</v>
      </c>
      <c r="D10" s="41"/>
      <c r="E10" s="41">
        <v>396</v>
      </c>
      <c r="F10" s="33">
        <f t="shared" si="0"/>
        <v>210728.01</v>
      </c>
      <c r="G10" s="42"/>
      <c r="H10" s="43"/>
      <c r="I10" s="46"/>
      <c r="J10" s="38"/>
      <c r="K10" s="38"/>
    </row>
    <row r="11" spans="1:11" x14ac:dyDescent="0.3">
      <c r="A11" s="29">
        <v>45936</v>
      </c>
      <c r="B11" s="39"/>
      <c r="C11" s="49" t="s">
        <v>25</v>
      </c>
      <c r="D11" s="41"/>
      <c r="E11" s="41"/>
      <c r="F11" s="33">
        <f t="shared" si="0"/>
        <v>210728.01</v>
      </c>
      <c r="G11" s="42"/>
      <c r="H11" s="43"/>
      <c r="I11" s="46"/>
      <c r="J11" s="38"/>
      <c r="K11" s="38">
        <v>37</v>
      </c>
    </row>
    <row r="12" spans="1:11" x14ac:dyDescent="0.3">
      <c r="A12" s="29">
        <v>45937</v>
      </c>
      <c r="B12" s="39"/>
      <c r="C12" s="49" t="s">
        <v>26</v>
      </c>
      <c r="D12" s="41"/>
      <c r="E12" s="41">
        <v>588</v>
      </c>
      <c r="F12" s="33">
        <f t="shared" si="0"/>
        <v>210140.01</v>
      </c>
      <c r="G12" s="42"/>
      <c r="H12" s="43"/>
      <c r="I12" s="46"/>
      <c r="J12" s="38"/>
      <c r="K12" s="38"/>
    </row>
    <row r="13" spans="1:11" x14ac:dyDescent="0.3">
      <c r="A13" s="29">
        <v>45937</v>
      </c>
      <c r="B13" s="39"/>
      <c r="C13" s="49" t="s">
        <v>27</v>
      </c>
      <c r="D13" s="41"/>
      <c r="E13" s="41">
        <v>260</v>
      </c>
      <c r="F13" s="33">
        <f t="shared" si="0"/>
        <v>209880.01</v>
      </c>
      <c r="G13" s="42"/>
      <c r="H13" s="43"/>
      <c r="I13" s="46"/>
      <c r="J13" s="38"/>
      <c r="K13" s="38"/>
    </row>
    <row r="14" spans="1:11" x14ac:dyDescent="0.3">
      <c r="A14" s="29">
        <v>45938</v>
      </c>
      <c r="B14" s="39"/>
      <c r="C14" s="50" t="s">
        <v>17</v>
      </c>
      <c r="D14" s="41"/>
      <c r="E14" s="41">
        <v>700</v>
      </c>
      <c r="F14" s="33">
        <f t="shared" si="0"/>
        <v>209180.01</v>
      </c>
      <c r="G14" s="42"/>
      <c r="H14" s="43"/>
      <c r="I14" s="46"/>
      <c r="J14" s="38"/>
      <c r="K14" s="38"/>
    </row>
    <row r="15" spans="1:11" x14ac:dyDescent="0.3">
      <c r="A15" s="29">
        <v>45939</v>
      </c>
      <c r="B15" s="39"/>
      <c r="C15" s="50" t="s">
        <v>28</v>
      </c>
      <c r="D15" s="41"/>
      <c r="E15" s="41">
        <v>210</v>
      </c>
      <c r="F15" s="33">
        <f t="shared" si="0"/>
        <v>208970.01</v>
      </c>
      <c r="G15" s="42"/>
      <c r="H15" s="43"/>
      <c r="I15" s="46"/>
      <c r="J15" s="38"/>
      <c r="K15" s="38"/>
    </row>
    <row r="16" spans="1:11" x14ac:dyDescent="0.3">
      <c r="A16" s="29">
        <v>45939</v>
      </c>
      <c r="B16" s="39"/>
      <c r="C16" s="50" t="s">
        <v>29</v>
      </c>
      <c r="D16" s="41"/>
      <c r="E16" s="41">
        <v>1550</v>
      </c>
      <c r="F16" s="33">
        <f t="shared" si="0"/>
        <v>207420.01</v>
      </c>
      <c r="G16" s="42"/>
      <c r="H16" s="43"/>
      <c r="I16" s="46"/>
      <c r="J16" s="38"/>
      <c r="K16" s="38"/>
    </row>
    <row r="17" spans="1:11" x14ac:dyDescent="0.3">
      <c r="A17" s="29">
        <v>45939</v>
      </c>
      <c r="B17" s="39"/>
      <c r="C17" s="50" t="s">
        <v>30</v>
      </c>
      <c r="D17" s="41"/>
      <c r="E17" s="41">
        <v>5600</v>
      </c>
      <c r="F17" s="33">
        <f t="shared" si="0"/>
        <v>201820.01</v>
      </c>
      <c r="G17" s="42"/>
      <c r="H17" s="43"/>
      <c r="I17" s="46"/>
      <c r="J17" s="38"/>
      <c r="K17" s="38"/>
    </row>
    <row r="18" spans="1:11" x14ac:dyDescent="0.3">
      <c r="A18" s="29">
        <v>45939</v>
      </c>
      <c r="B18" s="39"/>
      <c r="C18" s="40" t="s">
        <v>19</v>
      </c>
      <c r="D18" s="41"/>
      <c r="E18" s="41">
        <v>1900</v>
      </c>
      <c r="F18" s="33">
        <f t="shared" si="0"/>
        <v>199920.01</v>
      </c>
      <c r="G18" s="42"/>
      <c r="H18" s="43"/>
      <c r="I18" s="46"/>
      <c r="J18" s="38"/>
      <c r="K18" s="38"/>
    </row>
    <row r="19" spans="1:11" x14ac:dyDescent="0.3">
      <c r="A19" s="29">
        <v>45939</v>
      </c>
      <c r="B19" s="39"/>
      <c r="C19" s="40" t="s">
        <v>31</v>
      </c>
      <c r="D19" s="41"/>
      <c r="E19" s="41">
        <v>450</v>
      </c>
      <c r="F19" s="33">
        <f t="shared" si="0"/>
        <v>199470.01</v>
      </c>
      <c r="G19" s="42"/>
      <c r="H19" s="43"/>
      <c r="I19" s="46"/>
      <c r="J19" s="38"/>
      <c r="K19" s="38"/>
    </row>
    <row r="20" spans="1:11" x14ac:dyDescent="0.3">
      <c r="A20" s="29">
        <v>45940</v>
      </c>
      <c r="B20" s="39"/>
      <c r="C20" s="40" t="s">
        <v>32</v>
      </c>
      <c r="D20" s="41"/>
      <c r="E20" s="41">
        <v>4950</v>
      </c>
      <c r="F20" s="33">
        <f t="shared" si="0"/>
        <v>194520.01</v>
      </c>
      <c r="G20" s="42"/>
      <c r="H20" s="43"/>
      <c r="I20" s="46"/>
      <c r="J20" s="38"/>
      <c r="K20" s="38"/>
    </row>
    <row r="21" spans="1:11" x14ac:dyDescent="0.3">
      <c r="A21" s="29">
        <v>45940</v>
      </c>
      <c r="B21" s="39"/>
      <c r="C21" s="40" t="s">
        <v>21</v>
      </c>
      <c r="D21" s="41"/>
      <c r="E21" s="41">
        <v>750</v>
      </c>
      <c r="F21" s="33">
        <f t="shared" si="0"/>
        <v>193770.01</v>
      </c>
      <c r="G21" s="42"/>
      <c r="H21" s="43"/>
      <c r="I21" s="46"/>
      <c r="J21" s="38"/>
      <c r="K21" s="38"/>
    </row>
    <row r="22" spans="1:11" x14ac:dyDescent="0.3">
      <c r="A22" s="29">
        <v>45940</v>
      </c>
      <c r="B22" s="39"/>
      <c r="C22" s="40" t="s">
        <v>33</v>
      </c>
      <c r="D22" s="41"/>
      <c r="E22" s="41">
        <v>2000</v>
      </c>
      <c r="F22" s="33">
        <f t="shared" si="0"/>
        <v>191770.01</v>
      </c>
      <c r="G22" s="42"/>
      <c r="H22" s="43"/>
      <c r="I22" s="46"/>
      <c r="J22" s="38"/>
      <c r="K22" s="38"/>
    </row>
    <row r="23" spans="1:11" x14ac:dyDescent="0.3">
      <c r="A23" s="29">
        <v>45941</v>
      </c>
      <c r="B23" s="39"/>
      <c r="C23" s="40" t="s">
        <v>20</v>
      </c>
      <c r="D23" s="41"/>
      <c r="E23" s="41">
        <v>810</v>
      </c>
      <c r="F23" s="33">
        <f t="shared" si="0"/>
        <v>190960.01</v>
      </c>
      <c r="G23" s="42"/>
      <c r="H23" s="43"/>
      <c r="I23" s="46"/>
      <c r="J23" s="38"/>
      <c r="K23" s="38"/>
    </row>
    <row r="24" spans="1:11" x14ac:dyDescent="0.3">
      <c r="A24" s="29">
        <v>45943</v>
      </c>
      <c r="B24" s="39"/>
      <c r="C24" s="51" t="s">
        <v>24</v>
      </c>
      <c r="D24" s="41"/>
      <c r="E24" s="41">
        <v>270</v>
      </c>
      <c r="F24" s="33">
        <f t="shared" si="0"/>
        <v>190690.01</v>
      </c>
      <c r="G24" s="42"/>
      <c r="H24" s="43"/>
      <c r="I24" s="46"/>
      <c r="J24" s="38"/>
      <c r="K24" s="38"/>
    </row>
    <row r="25" spans="1:11" x14ac:dyDescent="0.3">
      <c r="A25" s="29">
        <v>45943</v>
      </c>
      <c r="B25" s="39"/>
      <c r="C25" s="40" t="s">
        <v>34</v>
      </c>
      <c r="D25" s="41"/>
      <c r="E25" s="41">
        <v>40</v>
      </c>
      <c r="F25" s="33">
        <f t="shared" si="0"/>
        <v>190650.01</v>
      </c>
      <c r="G25" s="42"/>
      <c r="H25" s="43"/>
      <c r="I25" s="46"/>
      <c r="J25" s="38"/>
      <c r="K25" s="38"/>
    </row>
    <row r="26" spans="1:11" x14ac:dyDescent="0.3">
      <c r="A26" s="52">
        <v>45944</v>
      </c>
      <c r="B26" s="39"/>
      <c r="C26" s="53" t="s">
        <v>35</v>
      </c>
      <c r="D26" s="41"/>
      <c r="E26" s="41">
        <v>40000</v>
      </c>
      <c r="F26" s="33">
        <f t="shared" si="0"/>
        <v>150650.01</v>
      </c>
      <c r="G26" s="42"/>
      <c r="H26" s="43"/>
      <c r="I26" s="46">
        <v>40000</v>
      </c>
      <c r="J26" s="38"/>
      <c r="K26" s="38"/>
    </row>
    <row r="27" spans="1:11" x14ac:dyDescent="0.3">
      <c r="A27" s="52">
        <v>45944</v>
      </c>
      <c r="B27" s="39"/>
      <c r="C27" s="53" t="s">
        <v>36</v>
      </c>
      <c r="D27" s="41"/>
      <c r="E27" s="41"/>
      <c r="F27" s="33">
        <f t="shared" si="0"/>
        <v>150650.01</v>
      </c>
      <c r="G27" s="42"/>
      <c r="H27" s="43"/>
      <c r="I27" s="46">
        <v>-49890</v>
      </c>
      <c r="J27" s="38"/>
      <c r="K27" s="38"/>
    </row>
    <row r="28" spans="1:11" x14ac:dyDescent="0.3">
      <c r="A28" s="54">
        <v>45944</v>
      </c>
      <c r="B28" s="55"/>
      <c r="C28" s="56" t="s">
        <v>37</v>
      </c>
      <c r="D28" s="57"/>
      <c r="E28" s="57">
        <v>30000</v>
      </c>
      <c r="F28" s="58">
        <f t="shared" si="0"/>
        <v>120650.01000000001</v>
      </c>
      <c r="G28" s="59"/>
      <c r="H28" s="60"/>
      <c r="I28" s="61"/>
      <c r="J28" s="62"/>
      <c r="K28" s="62"/>
    </row>
    <row r="29" spans="1:11" x14ac:dyDescent="0.3">
      <c r="A29" s="54">
        <v>45944</v>
      </c>
      <c r="B29" s="55"/>
      <c r="C29" s="63" t="s">
        <v>38</v>
      </c>
      <c r="D29" s="57"/>
      <c r="E29" s="57"/>
      <c r="F29" s="58">
        <f t="shared" si="0"/>
        <v>120650.01000000001</v>
      </c>
      <c r="G29" s="59"/>
      <c r="H29" s="60"/>
      <c r="I29" s="61"/>
      <c r="J29" s="62"/>
      <c r="K29" s="62">
        <v>30000</v>
      </c>
    </row>
    <row r="30" spans="1:11" x14ac:dyDescent="0.3">
      <c r="A30" s="52">
        <v>45944</v>
      </c>
      <c r="B30" s="39"/>
      <c r="C30" s="45" t="s">
        <v>39</v>
      </c>
      <c r="D30" s="41"/>
      <c r="E30" s="41">
        <v>860</v>
      </c>
      <c r="F30" s="33">
        <f t="shared" si="0"/>
        <v>119790.01000000001</v>
      </c>
      <c r="G30" s="42"/>
      <c r="H30" s="43"/>
      <c r="I30" s="46"/>
      <c r="J30" s="38"/>
      <c r="K30" s="38"/>
    </row>
    <row r="31" spans="1:11" x14ac:dyDescent="0.3">
      <c r="A31" s="52">
        <v>45944</v>
      </c>
      <c r="B31" s="39"/>
      <c r="C31" s="45" t="s">
        <v>40</v>
      </c>
      <c r="D31" s="41"/>
      <c r="E31" s="41">
        <v>640</v>
      </c>
      <c r="F31" s="33">
        <f t="shared" si="0"/>
        <v>119150.01000000001</v>
      </c>
      <c r="G31" s="42"/>
      <c r="H31" s="43"/>
      <c r="I31" s="46"/>
      <c r="J31" s="38"/>
      <c r="K31" s="38"/>
    </row>
    <row r="32" spans="1:11" x14ac:dyDescent="0.3">
      <c r="A32" s="52">
        <v>45945</v>
      </c>
      <c r="B32" s="39"/>
      <c r="C32" s="40" t="s">
        <v>41</v>
      </c>
      <c r="D32" s="41"/>
      <c r="E32" s="41"/>
      <c r="F32" s="33">
        <f t="shared" si="0"/>
        <v>119150.01000000001</v>
      </c>
      <c r="G32" s="42"/>
      <c r="H32" s="43"/>
      <c r="I32" s="46"/>
      <c r="J32" s="38"/>
      <c r="K32" s="38">
        <v>-1999</v>
      </c>
    </row>
    <row r="33" spans="1:11" x14ac:dyDescent="0.3">
      <c r="A33" s="52">
        <v>45945</v>
      </c>
      <c r="B33" s="39"/>
      <c r="C33" s="39" t="s">
        <v>42</v>
      </c>
      <c r="D33" s="41"/>
      <c r="E33" s="41"/>
      <c r="F33" s="33">
        <f t="shared" si="0"/>
        <v>119150.01000000001</v>
      </c>
      <c r="G33" s="42"/>
      <c r="H33" s="43"/>
      <c r="I33" s="46"/>
      <c r="J33" s="38"/>
      <c r="K33" s="38">
        <v>-3252</v>
      </c>
    </row>
    <row r="34" spans="1:11" x14ac:dyDescent="0.3">
      <c r="A34" s="1">
        <v>45945</v>
      </c>
      <c r="B34" s="39"/>
      <c r="C34" s="47" t="s">
        <v>17</v>
      </c>
      <c r="D34" s="64"/>
      <c r="E34" s="41">
        <v>700</v>
      </c>
      <c r="F34" s="33">
        <f t="shared" si="0"/>
        <v>118450.01000000001</v>
      </c>
      <c r="G34" s="42"/>
      <c r="H34" s="43"/>
      <c r="I34" s="46"/>
      <c r="J34" s="38"/>
      <c r="K34" s="38"/>
    </row>
    <row r="35" spans="1:11" x14ac:dyDescent="0.3">
      <c r="A35" s="52">
        <v>45946</v>
      </c>
      <c r="B35" s="39"/>
      <c r="C35" s="40" t="s">
        <v>43</v>
      </c>
      <c r="D35" s="41"/>
      <c r="E35" s="41">
        <v>50</v>
      </c>
      <c r="F35" s="33">
        <f t="shared" si="0"/>
        <v>118400.01000000001</v>
      </c>
      <c r="G35" s="42"/>
      <c r="H35" s="43"/>
      <c r="I35" s="46"/>
      <c r="J35" s="38"/>
      <c r="K35" s="38"/>
    </row>
    <row r="36" spans="1:11" x14ac:dyDescent="0.3">
      <c r="A36" s="52">
        <v>45946</v>
      </c>
      <c r="B36" s="65"/>
      <c r="C36" s="40" t="s">
        <v>19</v>
      </c>
      <c r="D36" s="41"/>
      <c r="E36" s="41">
        <v>1725</v>
      </c>
      <c r="F36" s="33">
        <f t="shared" si="0"/>
        <v>116675.01000000001</v>
      </c>
      <c r="G36" s="42"/>
      <c r="H36" s="43"/>
      <c r="I36" s="46"/>
      <c r="J36" s="38"/>
      <c r="K36" s="38"/>
    </row>
    <row r="37" spans="1:11" x14ac:dyDescent="0.3">
      <c r="A37" s="52">
        <v>45946</v>
      </c>
      <c r="B37" s="65"/>
      <c r="C37" s="40" t="s">
        <v>44</v>
      </c>
      <c r="D37" s="41"/>
      <c r="E37" s="41">
        <v>420</v>
      </c>
      <c r="F37" s="33">
        <f t="shared" si="0"/>
        <v>116255.01000000001</v>
      </c>
      <c r="G37" s="42"/>
      <c r="H37" s="43"/>
      <c r="I37" s="46"/>
      <c r="J37" s="38"/>
      <c r="K37" s="38"/>
    </row>
    <row r="38" spans="1:11" x14ac:dyDescent="0.3">
      <c r="A38" s="52">
        <v>45947</v>
      </c>
      <c r="B38" s="65"/>
      <c r="C38" s="40" t="s">
        <v>45</v>
      </c>
      <c r="D38" s="66"/>
      <c r="E38" s="66">
        <v>2800</v>
      </c>
      <c r="F38" s="33">
        <f>(F37+D38-E38)</f>
        <v>113455.01000000001</v>
      </c>
      <c r="G38" s="42"/>
      <c r="H38" s="43"/>
      <c r="I38" s="46"/>
      <c r="J38" s="38"/>
      <c r="K38" s="38"/>
    </row>
    <row r="39" spans="1:11" x14ac:dyDescent="0.3">
      <c r="A39" s="52">
        <v>45947</v>
      </c>
      <c r="B39" s="65"/>
      <c r="C39" s="40" t="s">
        <v>46</v>
      </c>
      <c r="D39" s="66"/>
      <c r="E39" s="66">
        <v>200</v>
      </c>
      <c r="F39" s="33">
        <f t="shared" si="0"/>
        <v>113255.01000000001</v>
      </c>
      <c r="G39" s="42"/>
      <c r="H39" s="43"/>
      <c r="I39" s="46"/>
      <c r="J39" s="38"/>
      <c r="K39" s="38"/>
    </row>
    <row r="40" spans="1:11" x14ac:dyDescent="0.3">
      <c r="A40" s="52">
        <v>45947</v>
      </c>
      <c r="B40" s="65"/>
      <c r="C40" s="67" t="s">
        <v>47</v>
      </c>
      <c r="D40" s="66"/>
      <c r="E40" s="66">
        <v>94</v>
      </c>
      <c r="F40" s="33">
        <f t="shared" si="0"/>
        <v>113161.01000000001</v>
      </c>
      <c r="G40" s="42"/>
      <c r="H40" s="43"/>
      <c r="I40" s="46"/>
      <c r="J40" s="68"/>
      <c r="K40" s="38"/>
    </row>
    <row r="41" spans="1:11" x14ac:dyDescent="0.3">
      <c r="A41" s="52">
        <v>45947</v>
      </c>
      <c r="B41" s="65"/>
      <c r="C41" s="50" t="s">
        <v>48</v>
      </c>
      <c r="D41" s="66"/>
      <c r="E41" s="66">
        <v>655</v>
      </c>
      <c r="F41" s="33">
        <f t="shared" si="0"/>
        <v>112506.01000000001</v>
      </c>
      <c r="G41" s="42"/>
      <c r="H41" s="43"/>
      <c r="I41" s="46"/>
      <c r="J41" s="41"/>
      <c r="K41" s="38"/>
    </row>
    <row r="42" spans="1:11" x14ac:dyDescent="0.3">
      <c r="A42" s="52">
        <v>45948</v>
      </c>
      <c r="B42" s="65"/>
      <c r="C42" s="50" t="s">
        <v>49</v>
      </c>
      <c r="D42" s="66"/>
      <c r="E42" s="66">
        <v>150</v>
      </c>
      <c r="F42" s="33">
        <f t="shared" si="0"/>
        <v>112356.01000000001</v>
      </c>
      <c r="G42" s="42"/>
      <c r="H42" s="43"/>
      <c r="I42" s="46"/>
      <c r="J42" s="69"/>
      <c r="K42" s="38"/>
    </row>
    <row r="43" spans="1:11" x14ac:dyDescent="0.3">
      <c r="A43" s="52">
        <v>45948</v>
      </c>
      <c r="B43" s="65"/>
      <c r="C43" s="67" t="s">
        <v>21</v>
      </c>
      <c r="D43" s="66"/>
      <c r="E43" s="66">
        <v>750</v>
      </c>
      <c r="F43" s="33">
        <f t="shared" si="0"/>
        <v>111606.01000000001</v>
      </c>
      <c r="G43" s="42"/>
      <c r="H43" s="43"/>
      <c r="I43" s="46"/>
      <c r="J43" s="38"/>
      <c r="K43" s="38"/>
    </row>
    <row r="44" spans="1:11" x14ac:dyDescent="0.3">
      <c r="A44" s="52">
        <v>45950</v>
      </c>
      <c r="B44" s="65"/>
      <c r="C44" s="50" t="s">
        <v>24</v>
      </c>
      <c r="D44" s="66"/>
      <c r="E44" s="66">
        <v>260</v>
      </c>
      <c r="F44" s="33">
        <f t="shared" si="0"/>
        <v>111346.01000000001</v>
      </c>
      <c r="G44" s="42"/>
      <c r="H44" s="43"/>
      <c r="I44" s="46"/>
      <c r="J44" s="38"/>
      <c r="K44" s="38"/>
    </row>
    <row r="45" spans="1:11" x14ac:dyDescent="0.3">
      <c r="A45" s="52">
        <v>45950</v>
      </c>
      <c r="B45" s="65"/>
      <c r="C45" s="70" t="s">
        <v>50</v>
      </c>
      <c r="D45" s="66"/>
      <c r="E45" s="66">
        <v>100</v>
      </c>
      <c r="F45" s="33">
        <f t="shared" si="0"/>
        <v>111246.01000000001</v>
      </c>
      <c r="G45" s="42"/>
      <c r="H45" s="43"/>
      <c r="I45" s="46"/>
      <c r="J45" s="38"/>
      <c r="K45" s="38"/>
    </row>
    <row r="46" spans="1:11" x14ac:dyDescent="0.3">
      <c r="A46" s="52">
        <v>45951</v>
      </c>
      <c r="B46" s="65"/>
      <c r="C46" s="49" t="s">
        <v>20</v>
      </c>
      <c r="D46" s="66"/>
      <c r="E46" s="66">
        <v>1549</v>
      </c>
      <c r="F46" s="33">
        <f t="shared" si="0"/>
        <v>109697.01000000001</v>
      </c>
      <c r="G46" s="42"/>
      <c r="H46" s="43"/>
      <c r="I46" s="46"/>
      <c r="J46" s="38"/>
      <c r="K46" s="38"/>
    </row>
    <row r="47" spans="1:11" x14ac:dyDescent="0.3">
      <c r="A47" s="52">
        <v>45952</v>
      </c>
      <c r="B47" s="65"/>
      <c r="C47" s="50" t="s">
        <v>17</v>
      </c>
      <c r="D47" s="66"/>
      <c r="E47" s="66">
        <v>700</v>
      </c>
      <c r="F47" s="33">
        <f t="shared" si="0"/>
        <v>108997.01000000001</v>
      </c>
      <c r="G47" s="42"/>
      <c r="H47" s="43"/>
      <c r="I47" s="46"/>
      <c r="J47" s="38"/>
      <c r="K47" s="38"/>
    </row>
    <row r="48" spans="1:11" x14ac:dyDescent="0.3">
      <c r="A48" s="52">
        <v>45952</v>
      </c>
      <c r="B48" s="65"/>
      <c r="C48" s="49" t="s">
        <v>51</v>
      </c>
      <c r="D48" s="66"/>
      <c r="E48" s="66">
        <v>970</v>
      </c>
      <c r="F48" s="33">
        <f t="shared" si="0"/>
        <v>108027.01000000001</v>
      </c>
      <c r="G48" s="42"/>
      <c r="H48" s="43"/>
      <c r="I48" s="46"/>
      <c r="J48" s="38"/>
      <c r="K48" s="38"/>
    </row>
    <row r="49" spans="1:11" ht="15.5" x14ac:dyDescent="0.35">
      <c r="A49" s="52">
        <v>45952</v>
      </c>
      <c r="B49" s="65"/>
      <c r="C49" s="71" t="s">
        <v>52</v>
      </c>
      <c r="D49" s="66"/>
      <c r="E49" s="66">
        <v>120</v>
      </c>
      <c r="F49" s="33">
        <f>(F48+D49-E49)</f>
        <v>107907.01000000001</v>
      </c>
      <c r="G49" s="42"/>
      <c r="H49" s="43"/>
      <c r="I49" s="46"/>
      <c r="J49" s="38"/>
      <c r="K49" s="38"/>
    </row>
    <row r="50" spans="1:11" x14ac:dyDescent="0.3">
      <c r="A50" s="52">
        <v>45952</v>
      </c>
      <c r="B50" s="65"/>
      <c r="C50" s="72" t="s">
        <v>20</v>
      </c>
      <c r="D50" s="66"/>
      <c r="E50" s="66">
        <v>140</v>
      </c>
      <c r="F50" s="33">
        <f t="shared" si="0"/>
        <v>107767.01000000001</v>
      </c>
      <c r="G50" s="42"/>
      <c r="H50" s="43"/>
      <c r="J50" s="38"/>
      <c r="K50" s="46"/>
    </row>
    <row r="51" spans="1:11" x14ac:dyDescent="0.3">
      <c r="A51" s="52">
        <v>45952</v>
      </c>
      <c r="B51" s="65"/>
      <c r="C51" s="73" t="s">
        <v>46</v>
      </c>
      <c r="D51" s="66"/>
      <c r="E51" s="66">
        <v>2455</v>
      </c>
      <c r="F51" s="33">
        <f t="shared" si="0"/>
        <v>105312.01000000001</v>
      </c>
      <c r="G51" s="42"/>
      <c r="H51" s="43"/>
      <c r="J51" s="38"/>
      <c r="K51" s="44"/>
    </row>
    <row r="52" spans="1:11" x14ac:dyDescent="0.3">
      <c r="A52" s="52">
        <v>45952</v>
      </c>
      <c r="B52" s="65"/>
      <c r="C52" s="67" t="s">
        <v>53</v>
      </c>
      <c r="D52" s="66"/>
      <c r="E52" s="66">
        <v>150</v>
      </c>
      <c r="F52" s="33">
        <f t="shared" si="0"/>
        <v>105162.01000000001</v>
      </c>
      <c r="G52" s="42"/>
      <c r="H52" s="43"/>
      <c r="I52" s="46"/>
      <c r="J52" s="38"/>
      <c r="K52" s="38"/>
    </row>
    <row r="53" spans="1:11" x14ac:dyDescent="0.3">
      <c r="A53" s="52">
        <v>45952</v>
      </c>
      <c r="B53" s="65"/>
      <c r="C53" s="67" t="s">
        <v>51</v>
      </c>
      <c r="D53" s="66"/>
      <c r="E53" s="66">
        <v>1120</v>
      </c>
      <c r="F53" s="33">
        <f t="shared" si="0"/>
        <v>104042.01000000001</v>
      </c>
      <c r="G53" s="42"/>
      <c r="H53" s="43"/>
      <c r="I53" s="46"/>
      <c r="J53" s="38"/>
      <c r="K53" s="38"/>
    </row>
    <row r="54" spans="1:11" x14ac:dyDescent="0.3">
      <c r="A54" s="52">
        <v>45953</v>
      </c>
      <c r="B54" s="65"/>
      <c r="C54" s="67" t="s">
        <v>54</v>
      </c>
      <c r="D54" s="66"/>
      <c r="E54" s="66">
        <v>3000</v>
      </c>
      <c r="F54" s="33">
        <f t="shared" si="0"/>
        <v>101042.01000000001</v>
      </c>
      <c r="G54" s="42"/>
      <c r="H54" s="43"/>
      <c r="I54" s="46"/>
      <c r="J54" s="38"/>
      <c r="K54" s="38"/>
    </row>
    <row r="55" spans="1:11" x14ac:dyDescent="0.3">
      <c r="A55" s="52">
        <v>45953</v>
      </c>
      <c r="B55" s="65"/>
      <c r="C55" s="67" t="s">
        <v>20</v>
      </c>
      <c r="D55" s="66"/>
      <c r="E55" s="66">
        <v>250</v>
      </c>
      <c r="F55" s="33">
        <f t="shared" si="0"/>
        <v>100792.01000000001</v>
      </c>
      <c r="G55" s="42"/>
      <c r="H55" s="43"/>
      <c r="I55" s="74"/>
      <c r="J55" s="75"/>
      <c r="K55" s="75"/>
    </row>
    <row r="56" spans="1:11" ht="14.5" thickBot="1" x14ac:dyDescent="0.35">
      <c r="A56" s="52">
        <v>45953</v>
      </c>
      <c r="C56" s="1" t="s">
        <v>19</v>
      </c>
      <c r="E56" s="66">
        <v>1160</v>
      </c>
      <c r="F56" s="33">
        <f t="shared" si="0"/>
        <v>99632.010000000009</v>
      </c>
      <c r="G56" s="42"/>
      <c r="H56" s="43"/>
      <c r="I56" s="76"/>
      <c r="J56" s="77" t="s">
        <v>18</v>
      </c>
      <c r="K56" s="76"/>
    </row>
    <row r="57" spans="1:11" ht="14.5" thickBot="1" x14ac:dyDescent="0.35">
      <c r="A57" s="78" t="s">
        <v>7</v>
      </c>
      <c r="B57" s="79">
        <v>2025</v>
      </c>
      <c r="C57" s="80" t="s">
        <v>55</v>
      </c>
      <c r="D57" s="81"/>
      <c r="E57" s="81">
        <f>SUM(E4:E56)</f>
        <v>117132</v>
      </c>
      <c r="F57" s="81">
        <f>F56</f>
        <v>99632.010000000009</v>
      </c>
      <c r="G57" s="82" t="s">
        <v>56</v>
      </c>
      <c r="H57" s="43"/>
      <c r="I57" s="83">
        <f>SUM(I3:I56)</f>
        <v>1572.3000000000029</v>
      </c>
      <c r="J57" s="83">
        <f>SUM(J3:J56)</f>
        <v>5109.1400000000012</v>
      </c>
      <c r="K57" s="83">
        <f>SUM(K3:K56)</f>
        <v>56278.509999999995</v>
      </c>
    </row>
    <row r="58" spans="1:11" ht="14.5" thickBot="1" x14ac:dyDescent="0.35">
      <c r="A58" s="84" t="s">
        <v>57</v>
      </c>
      <c r="B58" s="85">
        <v>2025</v>
      </c>
      <c r="C58" s="86" t="s">
        <v>58</v>
      </c>
      <c r="D58" s="87">
        <f>D57</f>
        <v>0</v>
      </c>
      <c r="E58" s="87">
        <f>E57</f>
        <v>117132</v>
      </c>
      <c r="F58" s="87">
        <f>F57</f>
        <v>99632.010000000009</v>
      </c>
      <c r="G58" s="88" t="s">
        <v>59</v>
      </c>
      <c r="H58" s="43"/>
      <c r="I58" s="89">
        <f t="shared" ref="I58:K58" si="1">I57</f>
        <v>1572.3000000000029</v>
      </c>
      <c r="J58" s="89">
        <f t="shared" si="1"/>
        <v>5109.1400000000012</v>
      </c>
      <c r="K58" s="89">
        <f t="shared" si="1"/>
        <v>56278.509999999995</v>
      </c>
    </row>
    <row r="59" spans="1:11" ht="15" customHeight="1" x14ac:dyDescent="0.3">
      <c r="A59" s="52">
        <v>45953</v>
      </c>
      <c r="B59" s="90"/>
      <c r="C59" s="91" t="s">
        <v>60</v>
      </c>
      <c r="D59" s="32"/>
      <c r="E59" s="32">
        <v>810</v>
      </c>
      <c r="F59" s="33">
        <f>(F58+D65-E59)</f>
        <v>98822.010000000009</v>
      </c>
      <c r="G59" s="92"/>
      <c r="H59" s="43"/>
      <c r="I59" s="93"/>
      <c r="J59" s="94"/>
      <c r="K59" s="94"/>
    </row>
    <row r="60" spans="1:11" ht="14" customHeight="1" x14ac:dyDescent="0.3">
      <c r="A60" s="52">
        <v>45953</v>
      </c>
      <c r="B60" s="90"/>
      <c r="C60" s="91" t="s">
        <v>61</v>
      </c>
      <c r="D60" s="32"/>
      <c r="E60" s="32">
        <v>1836</v>
      </c>
      <c r="F60" s="33">
        <f t="shared" ref="F60:F85" si="2">(F59+D66-E60)</f>
        <v>96986.010000000009</v>
      </c>
      <c r="G60" s="92"/>
      <c r="H60" s="43"/>
      <c r="I60" s="46"/>
      <c r="J60" s="46"/>
      <c r="K60" s="75"/>
    </row>
    <row r="61" spans="1:11" ht="14" customHeight="1" x14ac:dyDescent="0.3">
      <c r="A61" s="52">
        <v>45953</v>
      </c>
      <c r="B61" s="90"/>
      <c r="C61" s="91" t="s">
        <v>20</v>
      </c>
      <c r="D61" s="32"/>
      <c r="E61" s="32">
        <v>1935</v>
      </c>
      <c r="F61" s="33">
        <f t="shared" si="2"/>
        <v>95051.010000000009</v>
      </c>
      <c r="G61" s="92"/>
      <c r="H61" s="43"/>
      <c r="I61" s="46"/>
      <c r="J61" s="46"/>
      <c r="K61" s="75"/>
    </row>
    <row r="62" spans="1:11" ht="14" customHeight="1" x14ac:dyDescent="0.3">
      <c r="A62" s="52">
        <v>45954</v>
      </c>
      <c r="B62" s="65"/>
      <c r="C62" s="67" t="s">
        <v>62</v>
      </c>
      <c r="D62" s="66">
        <v>192000</v>
      </c>
      <c r="E62" s="32"/>
      <c r="F62" s="33">
        <f t="shared" ref="F62" si="3">(F61+D62-E62)</f>
        <v>287051.01</v>
      </c>
      <c r="G62" s="92"/>
      <c r="H62" s="43"/>
      <c r="I62" s="46"/>
      <c r="J62" s="46"/>
      <c r="K62" s="75"/>
    </row>
    <row r="63" spans="1:11" x14ac:dyDescent="0.3">
      <c r="A63" s="52">
        <v>45955</v>
      </c>
      <c r="B63" s="95"/>
      <c r="C63" s="67" t="s">
        <v>63</v>
      </c>
      <c r="D63" s="66"/>
      <c r="E63" s="66">
        <v>600</v>
      </c>
      <c r="F63" s="33">
        <f t="shared" si="2"/>
        <v>286451.01</v>
      </c>
      <c r="G63" s="42"/>
      <c r="H63" s="43"/>
      <c r="I63" s="46"/>
      <c r="J63" s="46"/>
      <c r="K63" s="75"/>
    </row>
    <row r="64" spans="1:11" x14ac:dyDescent="0.3">
      <c r="A64" s="52">
        <v>45955</v>
      </c>
      <c r="B64" s="65"/>
      <c r="C64" s="70" t="s">
        <v>64</v>
      </c>
      <c r="D64" s="66"/>
      <c r="E64" s="66">
        <v>750</v>
      </c>
      <c r="F64" s="33">
        <f t="shared" si="2"/>
        <v>285701.01</v>
      </c>
      <c r="G64" s="42"/>
      <c r="H64" s="43"/>
      <c r="I64" s="46"/>
      <c r="J64" s="46"/>
      <c r="K64" s="46"/>
    </row>
    <row r="65" spans="1:11" x14ac:dyDescent="0.3">
      <c r="A65" s="52">
        <v>45955</v>
      </c>
      <c r="B65" s="65"/>
      <c r="C65" s="70" t="s">
        <v>65</v>
      </c>
      <c r="D65" s="66"/>
      <c r="E65" s="66">
        <v>10000</v>
      </c>
      <c r="F65" s="33">
        <f t="shared" si="2"/>
        <v>275701.01</v>
      </c>
      <c r="G65" s="42"/>
      <c r="H65" s="43"/>
      <c r="I65" s="46"/>
      <c r="J65" s="46"/>
      <c r="K65" s="46"/>
    </row>
    <row r="66" spans="1:11" x14ac:dyDescent="0.3">
      <c r="A66" s="52">
        <v>45955</v>
      </c>
      <c r="B66" s="65"/>
      <c r="C66" s="67" t="s">
        <v>66</v>
      </c>
      <c r="D66" s="66"/>
      <c r="E66" s="66">
        <v>150</v>
      </c>
      <c r="F66" s="33">
        <f t="shared" si="2"/>
        <v>275551.01</v>
      </c>
      <c r="G66" s="42"/>
      <c r="H66" s="43"/>
      <c r="I66" s="46"/>
      <c r="J66" s="46"/>
      <c r="K66" s="46"/>
    </row>
    <row r="67" spans="1:11" x14ac:dyDescent="0.3">
      <c r="A67" s="52">
        <v>45956</v>
      </c>
      <c r="B67" s="65"/>
      <c r="C67" s="67" t="s">
        <v>67</v>
      </c>
      <c r="D67" s="66"/>
      <c r="E67" s="66">
        <v>1000</v>
      </c>
      <c r="F67" s="33">
        <f t="shared" si="2"/>
        <v>274551.01</v>
      </c>
      <c r="G67" s="42"/>
      <c r="H67" s="43"/>
      <c r="I67" s="46"/>
      <c r="J67" s="46"/>
      <c r="K67" s="46"/>
    </row>
    <row r="68" spans="1:11" x14ac:dyDescent="0.3">
      <c r="A68" s="52">
        <v>45957</v>
      </c>
      <c r="B68" s="65"/>
      <c r="C68" s="40" t="s">
        <v>68</v>
      </c>
      <c r="D68" s="66"/>
      <c r="E68" s="96">
        <v>3690</v>
      </c>
      <c r="F68" s="33">
        <f t="shared" si="2"/>
        <v>270861.01</v>
      </c>
      <c r="G68" s="42"/>
      <c r="H68" s="43"/>
      <c r="I68" s="46"/>
      <c r="J68" s="46"/>
      <c r="K68" s="46"/>
    </row>
    <row r="69" spans="1:11" ht="15.5" x14ac:dyDescent="0.35">
      <c r="A69" s="52">
        <v>45957</v>
      </c>
      <c r="B69" s="65"/>
      <c r="C69" s="97" t="s">
        <v>69</v>
      </c>
      <c r="D69" s="66"/>
      <c r="E69" s="98">
        <v>300</v>
      </c>
      <c r="F69" s="33">
        <f t="shared" si="2"/>
        <v>270561.01</v>
      </c>
      <c r="G69" s="42"/>
      <c r="H69" s="43"/>
      <c r="I69" s="46"/>
      <c r="J69" s="46"/>
      <c r="K69" s="46"/>
    </row>
    <row r="70" spans="1:11" ht="15.5" x14ac:dyDescent="0.35">
      <c r="A70" s="52">
        <v>45957</v>
      </c>
      <c r="B70" s="65"/>
      <c r="C70" s="97" t="s">
        <v>70</v>
      </c>
      <c r="D70" s="66"/>
      <c r="E70" s="98">
        <v>800</v>
      </c>
      <c r="F70" s="33">
        <f t="shared" si="2"/>
        <v>269761.01</v>
      </c>
      <c r="G70" s="42"/>
      <c r="H70" s="43"/>
      <c r="I70" s="46"/>
      <c r="J70" s="46"/>
      <c r="K70" s="46"/>
    </row>
    <row r="71" spans="1:11" ht="15.5" x14ac:dyDescent="0.35">
      <c r="A71" s="52">
        <v>45958</v>
      </c>
      <c r="B71" s="65"/>
      <c r="C71" s="99" t="s">
        <v>71</v>
      </c>
      <c r="D71" s="66"/>
      <c r="E71" s="98">
        <v>800</v>
      </c>
      <c r="F71" s="33">
        <f t="shared" si="2"/>
        <v>268961.01</v>
      </c>
      <c r="G71" s="42"/>
      <c r="H71" s="43"/>
      <c r="I71" s="46"/>
      <c r="J71" s="46"/>
      <c r="K71" s="46"/>
    </row>
    <row r="72" spans="1:11" x14ac:dyDescent="0.3">
      <c r="A72" s="52">
        <v>45959</v>
      </c>
      <c r="B72" s="65"/>
      <c r="C72" s="100" t="s">
        <v>20</v>
      </c>
      <c r="D72" s="66"/>
      <c r="E72" s="98">
        <v>512</v>
      </c>
      <c r="F72" s="33">
        <f t="shared" si="2"/>
        <v>268449.01</v>
      </c>
      <c r="G72" s="42"/>
      <c r="H72" s="43"/>
      <c r="I72" s="74"/>
      <c r="J72" s="74"/>
      <c r="K72" s="74"/>
    </row>
    <row r="73" spans="1:11" x14ac:dyDescent="0.3">
      <c r="A73" s="52">
        <v>45959</v>
      </c>
      <c r="B73" s="101"/>
      <c r="C73" s="100" t="s">
        <v>17</v>
      </c>
      <c r="D73" s="66"/>
      <c r="E73" s="98">
        <v>700</v>
      </c>
      <c r="F73" s="33">
        <f t="shared" si="2"/>
        <v>267749.01</v>
      </c>
      <c r="G73" s="42"/>
      <c r="H73" s="43"/>
      <c r="I73" s="74"/>
      <c r="J73" s="74"/>
      <c r="K73" s="74"/>
    </row>
    <row r="74" spans="1:11" x14ac:dyDescent="0.3">
      <c r="A74" s="52">
        <v>45957</v>
      </c>
      <c r="B74" s="101"/>
      <c r="C74" s="100" t="s">
        <v>72</v>
      </c>
      <c r="D74" s="66"/>
      <c r="E74" s="98">
        <v>534</v>
      </c>
      <c r="F74" s="33">
        <f t="shared" si="2"/>
        <v>267215.01</v>
      </c>
      <c r="G74" s="42"/>
      <c r="H74" s="43"/>
      <c r="I74" s="74"/>
      <c r="J74" s="74"/>
      <c r="K74" s="74"/>
    </row>
    <row r="75" spans="1:11" x14ac:dyDescent="0.3">
      <c r="A75" s="52">
        <v>45957</v>
      </c>
      <c r="B75" s="101"/>
      <c r="C75" s="100" t="s">
        <v>73</v>
      </c>
      <c r="D75" s="66"/>
      <c r="E75" s="98">
        <v>290</v>
      </c>
      <c r="F75" s="33">
        <f t="shared" si="2"/>
        <v>266925.01</v>
      </c>
      <c r="G75" s="42"/>
      <c r="H75" s="43"/>
      <c r="I75" s="102"/>
      <c r="J75" s="102"/>
      <c r="K75" s="74"/>
    </row>
    <row r="76" spans="1:11" ht="15.5" x14ac:dyDescent="0.35">
      <c r="A76" s="52">
        <v>45957</v>
      </c>
      <c r="B76" s="101"/>
      <c r="C76" s="97" t="s">
        <v>74</v>
      </c>
      <c r="D76" s="66"/>
      <c r="E76" s="98">
        <v>465</v>
      </c>
      <c r="F76" s="33">
        <f t="shared" si="2"/>
        <v>266460.01</v>
      </c>
      <c r="G76" s="42"/>
      <c r="H76" s="43"/>
      <c r="I76" s="102"/>
      <c r="J76" s="102"/>
      <c r="K76" s="74"/>
    </row>
    <row r="77" spans="1:11" x14ac:dyDescent="0.3">
      <c r="A77" s="52">
        <v>45958</v>
      </c>
      <c r="B77" s="101"/>
      <c r="C77" s="100" t="s">
        <v>20</v>
      </c>
      <c r="D77" s="66"/>
      <c r="E77" s="98">
        <v>119</v>
      </c>
      <c r="F77" s="33">
        <f t="shared" si="2"/>
        <v>266341.01</v>
      </c>
      <c r="G77" s="42"/>
      <c r="H77" s="43"/>
      <c r="I77" s="102"/>
      <c r="J77" s="102"/>
      <c r="K77" s="74"/>
    </row>
    <row r="78" spans="1:11" ht="15.5" x14ac:dyDescent="0.35">
      <c r="A78" s="52">
        <v>45958</v>
      </c>
      <c r="B78" s="101"/>
      <c r="C78" s="97" t="s">
        <v>75</v>
      </c>
      <c r="D78" s="66"/>
      <c r="E78" s="98">
        <v>504</v>
      </c>
      <c r="F78" s="33">
        <f t="shared" si="2"/>
        <v>265837.01</v>
      </c>
      <c r="G78" s="42"/>
      <c r="H78" s="43"/>
      <c r="I78" s="46"/>
      <c r="J78" s="46"/>
      <c r="K78" s="46"/>
    </row>
    <row r="79" spans="1:11" ht="15.5" x14ac:dyDescent="0.35">
      <c r="A79" s="103"/>
      <c r="B79" s="101"/>
      <c r="C79" s="104" t="s">
        <v>76</v>
      </c>
      <c r="D79" s="66"/>
      <c r="E79" s="98">
        <v>1580</v>
      </c>
      <c r="F79" s="33">
        <f t="shared" si="2"/>
        <v>264257.01</v>
      </c>
      <c r="G79" s="42"/>
      <c r="H79" s="43"/>
      <c r="I79" s="46"/>
      <c r="J79" s="46"/>
      <c r="K79" s="46"/>
    </row>
    <row r="80" spans="1:11" x14ac:dyDescent="0.3">
      <c r="A80" s="52">
        <v>45960</v>
      </c>
      <c r="B80" s="101"/>
      <c r="C80" s="67" t="s">
        <v>77</v>
      </c>
      <c r="D80" s="66"/>
      <c r="E80" s="98">
        <v>600</v>
      </c>
      <c r="F80" s="33">
        <f t="shared" si="2"/>
        <v>263657.01</v>
      </c>
      <c r="G80" s="42"/>
      <c r="H80" s="43"/>
      <c r="I80" s="46"/>
      <c r="J80" s="46"/>
      <c r="K80" s="46"/>
    </row>
    <row r="81" spans="1:11" ht="15.5" x14ac:dyDescent="0.35">
      <c r="A81" s="52">
        <v>45960</v>
      </c>
      <c r="B81" s="101"/>
      <c r="C81" s="104" t="s">
        <v>19</v>
      </c>
      <c r="D81" s="66"/>
      <c r="E81" s="98">
        <v>1700</v>
      </c>
      <c r="F81" s="33">
        <f t="shared" si="2"/>
        <v>261957.01</v>
      </c>
      <c r="G81" s="42"/>
      <c r="H81" s="43"/>
      <c r="I81" s="46"/>
      <c r="J81" s="46"/>
      <c r="K81" s="46"/>
    </row>
    <row r="82" spans="1:11" ht="15.5" x14ac:dyDescent="0.35">
      <c r="A82" s="52">
        <v>45960</v>
      </c>
      <c r="B82" s="101"/>
      <c r="C82" s="104" t="s">
        <v>66</v>
      </c>
      <c r="D82" s="66"/>
      <c r="E82" s="98">
        <v>960</v>
      </c>
      <c r="F82" s="33">
        <f t="shared" si="2"/>
        <v>260997.01</v>
      </c>
      <c r="G82" s="42"/>
      <c r="H82" s="43"/>
      <c r="I82" s="46"/>
      <c r="J82" s="74"/>
      <c r="K82" s="46"/>
    </row>
    <row r="83" spans="1:11" x14ac:dyDescent="0.3">
      <c r="A83" s="52">
        <v>45960</v>
      </c>
      <c r="B83" s="101"/>
      <c r="C83" s="100" t="s">
        <v>78</v>
      </c>
      <c r="D83" s="66"/>
      <c r="E83" s="98">
        <v>200</v>
      </c>
      <c r="F83" s="33">
        <f t="shared" si="2"/>
        <v>260797.01</v>
      </c>
      <c r="G83" s="42"/>
      <c r="H83" s="43"/>
      <c r="I83" s="74"/>
      <c r="J83" s="46"/>
      <c r="K83" s="46"/>
    </row>
    <row r="84" spans="1:11" x14ac:dyDescent="0.3">
      <c r="A84" s="52">
        <v>45960</v>
      </c>
      <c r="B84" s="101"/>
      <c r="C84" s="100" t="s">
        <v>79</v>
      </c>
      <c r="D84" s="66"/>
      <c r="E84" s="98">
        <v>875</v>
      </c>
      <c r="F84" s="33">
        <f t="shared" si="2"/>
        <v>259922.01</v>
      </c>
      <c r="G84" s="42"/>
      <c r="H84" s="43"/>
      <c r="I84" s="74"/>
      <c r="J84" s="46"/>
      <c r="K84" s="46"/>
    </row>
    <row r="85" spans="1:11" x14ac:dyDescent="0.3">
      <c r="A85" s="52">
        <v>45960</v>
      </c>
      <c r="B85" s="101"/>
      <c r="C85" s="105" t="s">
        <v>80</v>
      </c>
      <c r="D85" s="66"/>
      <c r="E85" s="98">
        <v>3000</v>
      </c>
      <c r="F85" s="33">
        <f t="shared" si="2"/>
        <v>256922.01</v>
      </c>
      <c r="G85" s="42"/>
      <c r="H85" s="43"/>
      <c r="I85" s="74"/>
      <c r="J85" s="46"/>
      <c r="K85" s="46"/>
    </row>
    <row r="86" spans="1:11" x14ac:dyDescent="0.3">
      <c r="A86" s="52">
        <v>45960</v>
      </c>
      <c r="B86" s="101"/>
      <c r="C86" s="67" t="s">
        <v>81</v>
      </c>
      <c r="D86" s="66"/>
      <c r="E86" s="98">
        <v>690</v>
      </c>
      <c r="F86" s="33">
        <f t="shared" ref="F86:F91" si="4">(F85+D86-E86)</f>
        <v>256232.01</v>
      </c>
      <c r="G86" s="42"/>
      <c r="H86" s="43"/>
      <c r="I86" s="46"/>
      <c r="J86" s="74"/>
      <c r="K86" s="74"/>
    </row>
    <row r="87" spans="1:11" x14ac:dyDescent="0.3">
      <c r="A87" s="103"/>
      <c r="B87" s="101"/>
      <c r="C87" s="67" t="s">
        <v>82</v>
      </c>
      <c r="D87" s="66"/>
      <c r="E87" s="98">
        <v>1825</v>
      </c>
      <c r="F87" s="33">
        <f t="shared" si="4"/>
        <v>254407.01</v>
      </c>
      <c r="G87" s="42"/>
      <c r="H87" s="43"/>
      <c r="I87" s="74"/>
      <c r="J87" s="1"/>
      <c r="K87" s="46"/>
    </row>
    <row r="88" spans="1:11" x14ac:dyDescent="0.3">
      <c r="A88" s="52">
        <v>45960</v>
      </c>
      <c r="B88" s="101"/>
      <c r="C88" s="49" t="s">
        <v>83</v>
      </c>
      <c r="D88" s="66"/>
      <c r="E88" s="66">
        <v>80</v>
      </c>
      <c r="F88" s="33">
        <f t="shared" si="4"/>
        <v>254327.01</v>
      </c>
      <c r="G88" s="42"/>
      <c r="H88" s="43"/>
      <c r="I88" s="46"/>
      <c r="J88" s="46"/>
      <c r="K88" s="46"/>
    </row>
    <row r="89" spans="1:11" x14ac:dyDescent="0.3">
      <c r="A89" s="103"/>
      <c r="B89" s="101"/>
      <c r="C89" s="67" t="s">
        <v>84</v>
      </c>
      <c r="D89" s="66"/>
      <c r="E89" s="66">
        <v>4380</v>
      </c>
      <c r="F89" s="33">
        <f t="shared" si="4"/>
        <v>249947.01</v>
      </c>
      <c r="G89" s="42"/>
      <c r="H89" s="43"/>
      <c r="I89" s="46"/>
      <c r="J89" s="46"/>
      <c r="K89" s="46"/>
    </row>
    <row r="90" spans="1:11" x14ac:dyDescent="0.3">
      <c r="A90" s="103"/>
      <c r="B90" s="101"/>
      <c r="C90" s="67" t="s">
        <v>85</v>
      </c>
      <c r="D90" s="66"/>
      <c r="E90" s="66">
        <v>1292</v>
      </c>
      <c r="F90" s="33">
        <f t="shared" si="4"/>
        <v>248655.01</v>
      </c>
      <c r="G90" s="42"/>
      <c r="H90" s="43"/>
      <c r="I90" s="46"/>
      <c r="J90" s="46"/>
      <c r="K90" s="46"/>
    </row>
    <row r="91" spans="1:11" x14ac:dyDescent="0.3">
      <c r="A91" s="103"/>
      <c r="B91" s="101"/>
      <c r="C91" s="50"/>
      <c r="D91" s="66"/>
      <c r="E91" s="66"/>
      <c r="F91" s="33">
        <f t="shared" si="4"/>
        <v>248655.01</v>
      </c>
      <c r="G91" s="42"/>
      <c r="H91" s="43"/>
    </row>
    <row r="92" spans="1:11" x14ac:dyDescent="0.3">
      <c r="A92" s="103"/>
      <c r="B92" s="101"/>
      <c r="C92" s="67"/>
      <c r="D92" s="106">
        <f>SUM(D58:D91)</f>
        <v>192000</v>
      </c>
      <c r="E92" s="106">
        <f>SUM(E58:E91)</f>
        <v>160109</v>
      </c>
      <c r="F92" s="33"/>
      <c r="G92" s="42"/>
      <c r="H92" s="43"/>
    </row>
    <row r="93" spans="1:11" ht="14.5" thickBot="1" x14ac:dyDescent="0.35">
      <c r="A93" s="103"/>
      <c r="B93" s="101"/>
      <c r="C93" s="67"/>
      <c r="D93" s="107">
        <f>+F3</f>
        <v>216764.01</v>
      </c>
      <c r="E93" s="107">
        <f>+F91</f>
        <v>248655.01</v>
      </c>
      <c r="F93" s="33"/>
      <c r="G93" s="42"/>
      <c r="H93" s="43"/>
      <c r="J93" s="77" t="s">
        <v>18</v>
      </c>
    </row>
    <row r="94" spans="1:11" ht="14.5" thickBot="1" x14ac:dyDescent="0.35">
      <c r="A94" s="103"/>
      <c r="B94" s="101"/>
      <c r="C94" s="67"/>
      <c r="D94" s="108">
        <f>+D92+D93</f>
        <v>408764.01</v>
      </c>
      <c r="E94" s="108">
        <f>+E92+E93</f>
        <v>408764.01</v>
      </c>
      <c r="F94" s="33"/>
      <c r="G94" s="42"/>
      <c r="H94" s="43"/>
      <c r="I94" s="109">
        <f>SUM(I58:I93)</f>
        <v>1572.3000000000029</v>
      </c>
      <c r="J94" s="109">
        <f>SUM(J58:J86)</f>
        <v>5109.1400000000012</v>
      </c>
      <c r="K94" s="109">
        <f>SUM(K58:K93)</f>
        <v>56278.509999999995</v>
      </c>
    </row>
    <row r="95" spans="1:11" x14ac:dyDescent="0.3">
      <c r="A95" s="103"/>
      <c r="B95" s="101"/>
      <c r="C95" s="67"/>
      <c r="D95" s="66"/>
      <c r="E95" s="66"/>
      <c r="F95" s="33"/>
      <c r="G95" s="42"/>
      <c r="H95" s="43"/>
    </row>
    <row r="96" spans="1:11" x14ac:dyDescent="0.3">
      <c r="A96" s="103"/>
      <c r="B96" s="101"/>
      <c r="C96" s="110"/>
      <c r="D96" s="66"/>
      <c r="E96" s="66"/>
      <c r="F96" s="33"/>
      <c r="G96" s="42"/>
      <c r="H96" s="43"/>
    </row>
    <row r="97" spans="1:8" x14ac:dyDescent="0.3">
      <c r="A97" s="103"/>
      <c r="B97" s="101"/>
      <c r="C97" s="67"/>
      <c r="D97" s="66"/>
      <c r="E97" s="66"/>
      <c r="F97" s="33"/>
      <c r="G97" s="42"/>
      <c r="H97" s="43"/>
    </row>
    <row r="98" spans="1:8" x14ac:dyDescent="0.3">
      <c r="A98" s="103"/>
      <c r="B98" s="101"/>
      <c r="C98" s="67"/>
      <c r="D98" s="66"/>
      <c r="E98" s="66"/>
      <c r="F98" s="33"/>
      <c r="G98" s="42"/>
      <c r="H98" s="43"/>
    </row>
    <row r="99" spans="1:8" x14ac:dyDescent="0.3">
      <c r="A99" s="103"/>
      <c r="B99" s="101"/>
      <c r="C99" s="67"/>
      <c r="D99" s="66"/>
      <c r="E99" s="66"/>
      <c r="F99" s="33"/>
      <c r="G99" s="42"/>
      <c r="H99" s="43"/>
    </row>
    <row r="100" spans="1:8" x14ac:dyDescent="0.3">
      <c r="A100" s="103"/>
      <c r="B100" s="101"/>
      <c r="C100" s="67"/>
      <c r="D100" s="66"/>
      <c r="E100" s="66"/>
      <c r="F100" s="33"/>
      <c r="G100" s="42"/>
      <c r="H100" s="43"/>
    </row>
    <row r="101" spans="1:8" x14ac:dyDescent="0.3">
      <c r="A101" s="103"/>
      <c r="B101" s="101"/>
      <c r="C101" s="67"/>
      <c r="D101" s="66"/>
      <c r="E101" s="66"/>
      <c r="F101" s="33"/>
      <c r="G101" s="42"/>
      <c r="H101" s="43"/>
    </row>
    <row r="102" spans="1:8" x14ac:dyDescent="0.3">
      <c r="A102" s="103"/>
      <c r="B102" s="111"/>
      <c r="C102" s="67"/>
      <c r="D102" s="66"/>
      <c r="E102" s="66"/>
      <c r="F102" s="33"/>
      <c r="G102" s="42"/>
      <c r="H102" s="43"/>
    </row>
    <row r="103" spans="1:8" x14ac:dyDescent="0.3">
      <c r="A103" s="52"/>
      <c r="B103" s="112"/>
      <c r="C103" s="113"/>
      <c r="D103" s="114"/>
      <c r="E103" s="114"/>
      <c r="F103" s="33"/>
      <c r="G103" s="42"/>
    </row>
    <row r="104" spans="1:8" x14ac:dyDescent="0.3">
      <c r="A104" s="52"/>
      <c r="B104" s="112"/>
      <c r="C104" s="113"/>
      <c r="D104" s="114"/>
      <c r="E104" s="114"/>
      <c r="F104" s="33"/>
      <c r="G104" s="4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2025-12-04T16:56:29Z</dcterms:modified>
</cp:coreProperties>
</file>