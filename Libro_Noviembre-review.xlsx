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ss\Downloads\Co Shi\Contabilidad Shillong\1. Account 2025\11. Noviembre\"/>
    </mc:Choice>
  </mc:AlternateContent>
  <bookViews>
    <workbookView xWindow="0" yWindow="0" windowWidth="9840" windowHeight="6250"/>
  </bookViews>
  <sheets>
    <sheet name="Libro Diario" sheetId="1" r:id="rId1"/>
  </sheets>
  <calcPr calcId="162913"/>
</workbook>
</file>

<file path=xl/calcChain.xml><?xml version="1.0" encoding="utf-8"?>
<calcChain xmlns="http://schemas.openxmlformats.org/spreadsheetml/2006/main">
  <c r="D82" i="1" l="1"/>
  <c r="C82" i="1"/>
</calcChain>
</file>

<file path=xl/sharedStrings.xml><?xml version="1.0" encoding="utf-8"?>
<sst xmlns="http://schemas.openxmlformats.org/spreadsheetml/2006/main" count="484" uniqueCount="165">
  <si>
    <t>Fecha</t>
  </si>
  <si>
    <t>Concepto</t>
  </si>
  <si>
    <t>Cuenta</t>
  </si>
  <si>
    <t>Nombre Cuenta</t>
  </si>
  <si>
    <t>Debe</t>
  </si>
  <si>
    <t>Haber</t>
  </si>
  <si>
    <t>Saldo</t>
  </si>
  <si>
    <t>Banco</t>
  </si>
  <si>
    <t>Categoría</t>
  </si>
  <si>
    <t>03/11/2025</t>
  </si>
  <si>
    <t>Chicken</t>
  </si>
  <si>
    <t>603000</t>
  </si>
  <si>
    <t>Compra de comestibles y bebidas</t>
  </si>
  <si>
    <t>Caja</t>
  </si>
  <si>
    <t>FOOD</t>
  </si>
  <si>
    <t>06/11/2025</t>
  </si>
  <si>
    <t>Pork</t>
  </si>
  <si>
    <t>08/11/2025</t>
  </si>
  <si>
    <t>Beef</t>
  </si>
  <si>
    <t>12/11/2025</t>
  </si>
  <si>
    <t>13/11/2025</t>
  </si>
  <si>
    <t>Rice-oil</t>
  </si>
  <si>
    <t>Vegetables</t>
  </si>
  <si>
    <t>15/11/2025</t>
  </si>
  <si>
    <t>Medicines sr Juliana</t>
  </si>
  <si>
    <t>600000</t>
  </si>
  <si>
    <t>Compra de farmacia y material sanitario</t>
  </si>
  <si>
    <t>Farmacia y Sanitario</t>
  </si>
  <si>
    <t>17/11/2025</t>
  </si>
  <si>
    <t>Book binding</t>
  </si>
  <si>
    <t>602500</t>
  </si>
  <si>
    <t>Material de oficina, impresos e informática</t>
  </si>
  <si>
    <t>Material oficina</t>
  </si>
  <si>
    <t>19/11/2025</t>
  </si>
  <si>
    <t>Paper</t>
  </si>
  <si>
    <t>Newspaper</t>
  </si>
  <si>
    <t>650570</t>
  </si>
  <si>
    <t>Libros, suscripciones y periódicos</t>
  </si>
  <si>
    <t>Prensa y libros</t>
  </si>
  <si>
    <t>21/11/2025</t>
  </si>
  <si>
    <t>Soap</t>
  </si>
  <si>
    <t>602400</t>
  </si>
  <si>
    <t>Material de limpieza</t>
  </si>
  <si>
    <t>HYGIENE</t>
  </si>
  <si>
    <t>20/11/2025</t>
  </si>
  <si>
    <t>Medicines sr Elisa</t>
  </si>
  <si>
    <t>Banana</t>
  </si>
  <si>
    <t>Sujee</t>
  </si>
  <si>
    <t>22/11/2025</t>
  </si>
  <si>
    <t>23/11/2025</t>
  </si>
  <si>
    <t>Recollection payment father</t>
  </si>
  <si>
    <t>650560</t>
  </si>
  <si>
    <t>Ejercicios y retiros</t>
  </si>
  <si>
    <t>24/11/2025</t>
  </si>
  <si>
    <t>Form C registration sr. Juliana</t>
  </si>
  <si>
    <t>659034</t>
  </si>
  <si>
    <t>Documentos, fotos y audiovisuales</t>
  </si>
  <si>
    <t>Documentación</t>
  </si>
  <si>
    <t>25/11/2025</t>
  </si>
  <si>
    <t>Mass stipend</t>
  </si>
  <si>
    <t>659020</t>
  </si>
  <si>
    <t>Culto</t>
  </si>
  <si>
    <t>Candles advent</t>
  </si>
  <si>
    <t>Food items</t>
  </si>
  <si>
    <t>Ribbon</t>
  </si>
  <si>
    <t>606000</t>
  </si>
  <si>
    <t>Compra de ropería personal, hogar y objetos personales</t>
  </si>
  <si>
    <t>Ropería</t>
  </si>
  <si>
    <t>Flowers</t>
  </si>
  <si>
    <t>26/11/2025</t>
  </si>
  <si>
    <t>27/11/2025</t>
  </si>
  <si>
    <t>Soya-Dal</t>
  </si>
  <si>
    <t>Note-book</t>
  </si>
  <si>
    <t>28/11/2025</t>
  </si>
  <si>
    <t>Atta</t>
  </si>
  <si>
    <t>29/11/2025</t>
  </si>
  <si>
    <t>CRI of Meghalaya fees</t>
  </si>
  <si>
    <t>659010</t>
  </si>
  <si>
    <t>Cuotas y afiliaciones</t>
  </si>
  <si>
    <t>Cuotas</t>
  </si>
  <si>
    <t>CRI meeting</t>
  </si>
  <si>
    <t>650530</t>
  </si>
  <si>
    <t>Formación permanente</t>
  </si>
  <si>
    <t>Formación</t>
  </si>
  <si>
    <t>30/11/2025</t>
  </si>
  <si>
    <t>Taxis november</t>
  </si>
  <si>
    <t>629100</t>
  </si>
  <si>
    <t>Viajes</t>
  </si>
  <si>
    <t>Food-snacks</t>
  </si>
  <si>
    <t>Mass intention month november</t>
  </si>
  <si>
    <t>Temporary loan Carmelites</t>
  </si>
  <si>
    <t>555000</t>
  </si>
  <si>
    <t>Partidas pendientes de aplicación</t>
  </si>
  <si>
    <t>Partidas pendientes</t>
  </si>
  <si>
    <t>01/11/2025</t>
  </si>
  <si>
    <t>Post to Trivandrum</t>
  </si>
  <si>
    <t>629200</t>
  </si>
  <si>
    <t>Teléfonos, internet, mensajería y correo</t>
  </si>
  <si>
    <t>ONLINE</t>
  </si>
  <si>
    <t>Reparing Kettle</t>
  </si>
  <si>
    <t>622150</t>
  </si>
  <si>
    <t>Mantenimiento y reparaciones</t>
  </si>
  <si>
    <t>Mantenimiento instalaciones</t>
  </si>
  <si>
    <t>05/11/2025</t>
  </si>
  <si>
    <t>Detergent powder</t>
  </si>
  <si>
    <t>Recharge sr Juliana movile</t>
  </si>
  <si>
    <t>Dentist Angela</t>
  </si>
  <si>
    <t>652000</t>
  </si>
  <si>
    <t>Pastoral juvenil vocacional</t>
  </si>
  <si>
    <t>OTROS</t>
  </si>
  <si>
    <t>Onion</t>
  </si>
  <si>
    <t>Fish</t>
  </si>
  <si>
    <t>11/11/2025</t>
  </si>
  <si>
    <t>Heater repair</t>
  </si>
  <si>
    <t>Material for heater repair</t>
  </si>
  <si>
    <t>602300</t>
  </si>
  <si>
    <t>Material de reposición y conservación</t>
  </si>
  <si>
    <t>Reposición y conservación</t>
  </si>
  <si>
    <t>Led tub Chappel</t>
  </si>
  <si>
    <t>Gas cylinder</t>
  </si>
  <si>
    <t>602100</t>
  </si>
  <si>
    <t>Compra de combustibles</t>
  </si>
  <si>
    <t>Combustibles</t>
  </si>
  <si>
    <t>Monthly milk october</t>
  </si>
  <si>
    <t>Taxi to Mawiong Parish</t>
  </si>
  <si>
    <t>Chapel decoration</t>
  </si>
  <si>
    <t>Xerox note</t>
  </si>
  <si>
    <t>First aid  kid</t>
  </si>
  <si>
    <t>First aid kid material</t>
  </si>
  <si>
    <t>Expenses travelling Mary´s College</t>
  </si>
  <si>
    <t>Donation</t>
  </si>
  <si>
    <t>658000</t>
  </si>
  <si>
    <t>Donativos y obras sociales</t>
  </si>
  <si>
    <t>Sr Juliana´s shoes</t>
  </si>
  <si>
    <t>Frashers´s day contribution</t>
  </si>
  <si>
    <t>Xerox copies</t>
  </si>
  <si>
    <t>Travelling University MLCU</t>
  </si>
  <si>
    <t>Cake for CRI</t>
  </si>
  <si>
    <t>650300</t>
  </si>
  <si>
    <t>Atenciones comunitarias</t>
  </si>
  <si>
    <t>Batery</t>
  </si>
  <si>
    <t>605000</t>
  </si>
  <si>
    <t>Pequeño utillaje, vajilla y objetos de adorno</t>
  </si>
  <si>
    <t>Utillaje y vajilla</t>
  </si>
  <si>
    <t>Shoes</t>
  </si>
  <si>
    <t>Medicines sr Sindhu</t>
  </si>
  <si>
    <t>10/11/2025</t>
  </si>
  <si>
    <t>Dentist</t>
  </si>
  <si>
    <t>650140</t>
  </si>
  <si>
    <t>Consultas, análisis y exploraciones</t>
  </si>
  <si>
    <t>Consultas médicas</t>
  </si>
  <si>
    <t>Travelling Shanti Bhavan</t>
  </si>
  <si>
    <t>Monthly expenses Food</t>
  </si>
  <si>
    <t>14/11/2025</t>
  </si>
  <si>
    <t>Payment electricity</t>
  </si>
  <si>
    <t>628030</t>
  </si>
  <si>
    <t>Suministro electricidad</t>
  </si>
  <si>
    <t>Union Bank</t>
  </si>
  <si>
    <t>Electricidad</t>
  </si>
  <si>
    <t>BSNL Landline - Individual</t>
  </si>
  <si>
    <t>Travelling vacation sr Sindhu</t>
  </si>
  <si>
    <t>Tour trips study fees</t>
  </si>
  <si>
    <t>Payment  Salary Sr Elisa SSCenter</t>
  </si>
  <si>
    <t>TOTALES DEL PERIODO</t>
  </si>
  <si>
    <t>Donation-Salary Sr Elisa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</si>
</sst>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  <xf numFmtId="0" fontId="2" fillId="0" borderId="0" xfId="0" applyFont="1"/>
    <xf numFmtId="4" fontId="3" fillId="0" borderId="0" xfId="0" applyNumberFormat="1" applyFont="1"/>
    <xf numFmtId="4" fontId="5" fillId="3" borderId="0" xfId="0" applyNumberFormat="1" applyFont="1" applyFill="1"/>
    <xf numFmtId="4" fontId="4" fillId="0" borderId="0" xfId="0" applyNumberFormat="1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topLeftCell="A4" workbookViewId="0">
      <selection activeCell="B84" sqref="B84:D84"/>
    </sheetView>
  </sheetViews>
  <sheetFormatPr baseColWidth="10" defaultColWidth="8.7265625" defaultRowHeight="14.5" x14ac:dyDescent="0.35"/>
  <cols>
    <col min="1" max="1" width="13.08984375" customWidth="1"/>
    <col min="2" max="2" width="27.7265625" customWidth="1"/>
    <col min="3" max="7" width="15" customWidth="1"/>
    <col min="8" max="8" width="14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</v>
      </c>
      <c r="I1" s="1" t="s">
        <v>3</v>
      </c>
    </row>
    <row r="2" spans="1:9" x14ac:dyDescent="0.35">
      <c r="A2" t="s">
        <v>94</v>
      </c>
      <c r="B2" t="s">
        <v>95</v>
      </c>
      <c r="D2" s="2">
        <v>91</v>
      </c>
      <c r="E2" s="2">
        <v>-39421</v>
      </c>
      <c r="F2" t="s">
        <v>13</v>
      </c>
      <c r="G2" t="s">
        <v>98</v>
      </c>
      <c r="H2" t="s">
        <v>96</v>
      </c>
      <c r="I2" t="s">
        <v>97</v>
      </c>
    </row>
    <row r="3" spans="1:9" x14ac:dyDescent="0.35">
      <c r="A3" t="s">
        <v>94</v>
      </c>
      <c r="B3" t="s">
        <v>105</v>
      </c>
      <c r="D3" s="2">
        <v>580</v>
      </c>
      <c r="E3" s="2">
        <v>-46327</v>
      </c>
      <c r="F3" t="s">
        <v>13</v>
      </c>
      <c r="G3" t="s">
        <v>98</v>
      </c>
      <c r="H3" t="s">
        <v>96</v>
      </c>
      <c r="I3" t="s">
        <v>97</v>
      </c>
    </row>
    <row r="4" spans="1:9" x14ac:dyDescent="0.35">
      <c r="A4" t="s">
        <v>9</v>
      </c>
      <c r="B4" t="s">
        <v>10</v>
      </c>
      <c r="D4" s="2">
        <v>350</v>
      </c>
      <c r="E4" s="2">
        <v>-350</v>
      </c>
      <c r="F4" t="s">
        <v>13</v>
      </c>
      <c r="G4" t="s">
        <v>14</v>
      </c>
      <c r="H4" t="s">
        <v>11</v>
      </c>
      <c r="I4" t="s">
        <v>12</v>
      </c>
    </row>
    <row r="5" spans="1:9" x14ac:dyDescent="0.35">
      <c r="A5" t="s">
        <v>103</v>
      </c>
      <c r="B5" t="s">
        <v>104</v>
      </c>
      <c r="D5" s="2">
        <v>6276</v>
      </c>
      <c r="E5" s="2">
        <v>-45747</v>
      </c>
      <c r="F5" t="s">
        <v>13</v>
      </c>
      <c r="G5" t="s">
        <v>43</v>
      </c>
      <c r="H5" t="s">
        <v>41</v>
      </c>
      <c r="I5" t="s">
        <v>42</v>
      </c>
    </row>
    <row r="6" spans="1:9" x14ac:dyDescent="0.35">
      <c r="A6" t="s">
        <v>103</v>
      </c>
      <c r="B6" t="s">
        <v>145</v>
      </c>
      <c r="C6" s="2"/>
      <c r="D6" s="2">
        <v>451</v>
      </c>
      <c r="E6" s="2">
        <v>-55222</v>
      </c>
      <c r="F6" t="s">
        <v>13</v>
      </c>
      <c r="G6" t="s">
        <v>27</v>
      </c>
      <c r="H6" t="s">
        <v>25</v>
      </c>
      <c r="I6" t="s">
        <v>26</v>
      </c>
    </row>
    <row r="7" spans="1:9" x14ac:dyDescent="0.35">
      <c r="A7" t="s">
        <v>15</v>
      </c>
      <c r="B7" t="s">
        <v>16</v>
      </c>
      <c r="D7" s="2">
        <v>700</v>
      </c>
      <c r="E7" s="2">
        <v>-1050</v>
      </c>
      <c r="F7" t="s">
        <v>13</v>
      </c>
      <c r="G7" t="s">
        <v>14</v>
      </c>
      <c r="H7" t="s">
        <v>11</v>
      </c>
      <c r="I7" t="s">
        <v>12</v>
      </c>
    </row>
    <row r="8" spans="1:9" x14ac:dyDescent="0.35">
      <c r="A8" t="s">
        <v>15</v>
      </c>
      <c r="B8" t="s">
        <v>110</v>
      </c>
      <c r="D8" s="2">
        <v>150</v>
      </c>
      <c r="E8" s="2">
        <v>-47747</v>
      </c>
      <c r="F8" t="s">
        <v>13</v>
      </c>
      <c r="G8" t="s">
        <v>14</v>
      </c>
      <c r="H8" t="s">
        <v>11</v>
      </c>
      <c r="I8" t="s">
        <v>12</v>
      </c>
    </row>
    <row r="9" spans="1:9" x14ac:dyDescent="0.35">
      <c r="A9" t="s">
        <v>15</v>
      </c>
      <c r="B9" t="s">
        <v>111</v>
      </c>
      <c r="D9" s="2">
        <v>1170</v>
      </c>
      <c r="E9" s="2">
        <v>-48917</v>
      </c>
      <c r="F9" t="s">
        <v>13</v>
      </c>
      <c r="G9" t="s">
        <v>14</v>
      </c>
      <c r="H9" t="s">
        <v>11</v>
      </c>
      <c r="I9" t="s">
        <v>12</v>
      </c>
    </row>
    <row r="10" spans="1:9" x14ac:dyDescent="0.35">
      <c r="A10" t="s">
        <v>15</v>
      </c>
      <c r="B10" t="s">
        <v>63</v>
      </c>
      <c r="D10" s="2">
        <v>1320</v>
      </c>
      <c r="E10" s="2">
        <v>-50237</v>
      </c>
      <c r="F10" t="s">
        <v>13</v>
      </c>
      <c r="G10" t="s">
        <v>14</v>
      </c>
      <c r="H10" t="s">
        <v>11</v>
      </c>
      <c r="I10" t="s">
        <v>12</v>
      </c>
    </row>
    <row r="11" spans="1:9" x14ac:dyDescent="0.35">
      <c r="A11" t="s">
        <v>15</v>
      </c>
      <c r="B11" t="s">
        <v>22</v>
      </c>
      <c r="D11" s="2">
        <v>2360</v>
      </c>
      <c r="E11" s="2">
        <v>-61117</v>
      </c>
      <c r="F11" t="s">
        <v>13</v>
      </c>
      <c r="G11" t="s">
        <v>14</v>
      </c>
      <c r="H11" t="s">
        <v>11</v>
      </c>
      <c r="I11" t="s">
        <v>12</v>
      </c>
    </row>
    <row r="12" spans="1:9" x14ac:dyDescent="0.35">
      <c r="A12" t="s">
        <v>15</v>
      </c>
      <c r="B12" t="s">
        <v>134</v>
      </c>
      <c r="C12" s="2"/>
      <c r="D12" s="2">
        <v>100</v>
      </c>
      <c r="E12" s="2">
        <v>-57358</v>
      </c>
      <c r="F12" t="s">
        <v>13</v>
      </c>
      <c r="G12" t="s">
        <v>109</v>
      </c>
      <c r="H12" t="s">
        <v>131</v>
      </c>
      <c r="I12" t="s">
        <v>132</v>
      </c>
    </row>
    <row r="13" spans="1:9" x14ac:dyDescent="0.35">
      <c r="A13" t="s">
        <v>15</v>
      </c>
      <c r="B13" t="s">
        <v>140</v>
      </c>
      <c r="C13" s="2"/>
      <c r="D13" s="2">
        <v>150</v>
      </c>
      <c r="E13" s="2">
        <v>-56073</v>
      </c>
      <c r="F13" t="s">
        <v>13</v>
      </c>
      <c r="G13" t="s">
        <v>143</v>
      </c>
      <c r="H13" t="s">
        <v>141</v>
      </c>
      <c r="I13" t="s">
        <v>142</v>
      </c>
    </row>
    <row r="14" spans="1:9" x14ac:dyDescent="0.35">
      <c r="A14" t="s">
        <v>17</v>
      </c>
      <c r="B14" t="s">
        <v>18</v>
      </c>
      <c r="D14" s="2">
        <v>750</v>
      </c>
      <c r="E14" s="2">
        <v>-1800</v>
      </c>
      <c r="F14" t="s">
        <v>13</v>
      </c>
      <c r="G14" t="s">
        <v>14</v>
      </c>
      <c r="H14" t="s">
        <v>11</v>
      </c>
      <c r="I14" t="s">
        <v>12</v>
      </c>
    </row>
    <row r="15" spans="1:9" x14ac:dyDescent="0.35">
      <c r="A15" t="s">
        <v>17</v>
      </c>
      <c r="B15" t="s">
        <v>99</v>
      </c>
      <c r="D15" s="2">
        <v>50</v>
      </c>
      <c r="E15" s="2">
        <v>-39471</v>
      </c>
      <c r="F15" t="s">
        <v>13</v>
      </c>
      <c r="G15" t="s">
        <v>102</v>
      </c>
      <c r="H15" t="s">
        <v>100</v>
      </c>
      <c r="I15" t="s">
        <v>101</v>
      </c>
    </row>
    <row r="16" spans="1:9" x14ac:dyDescent="0.35">
      <c r="A16" t="s">
        <v>17</v>
      </c>
      <c r="B16" t="s">
        <v>127</v>
      </c>
      <c r="C16" s="2"/>
      <c r="D16" s="2">
        <v>304</v>
      </c>
      <c r="E16" s="2">
        <v>-60033</v>
      </c>
      <c r="F16" t="s">
        <v>13</v>
      </c>
      <c r="G16" t="s">
        <v>27</v>
      </c>
      <c r="H16" t="s">
        <v>25</v>
      </c>
      <c r="I16" t="s">
        <v>26</v>
      </c>
    </row>
    <row r="17" spans="1:9" x14ac:dyDescent="0.35">
      <c r="A17" t="s">
        <v>17</v>
      </c>
      <c r="B17" t="s">
        <v>128</v>
      </c>
      <c r="C17" s="2"/>
      <c r="D17" s="2">
        <v>341</v>
      </c>
      <c r="E17" s="2">
        <v>-59692</v>
      </c>
      <c r="F17" t="s">
        <v>13</v>
      </c>
      <c r="G17" t="s">
        <v>27</v>
      </c>
      <c r="H17" t="s">
        <v>25</v>
      </c>
      <c r="I17" t="s">
        <v>26</v>
      </c>
    </row>
    <row r="18" spans="1:9" x14ac:dyDescent="0.35">
      <c r="A18" t="s">
        <v>146</v>
      </c>
      <c r="B18" t="s">
        <v>147</v>
      </c>
      <c r="C18" s="2"/>
      <c r="D18" s="2">
        <v>300</v>
      </c>
      <c r="E18" s="2">
        <v>-54922</v>
      </c>
      <c r="F18" t="s">
        <v>13</v>
      </c>
      <c r="G18" t="s">
        <v>150</v>
      </c>
      <c r="H18" t="s">
        <v>148</v>
      </c>
      <c r="I18" t="s">
        <v>149</v>
      </c>
    </row>
    <row r="19" spans="1:9" x14ac:dyDescent="0.35">
      <c r="A19" t="s">
        <v>112</v>
      </c>
      <c r="B19" t="s">
        <v>113</v>
      </c>
      <c r="D19" s="2">
        <v>1000</v>
      </c>
      <c r="E19" s="2">
        <v>-51237</v>
      </c>
      <c r="F19" t="s">
        <v>13</v>
      </c>
      <c r="G19" t="s">
        <v>102</v>
      </c>
      <c r="H19" t="s">
        <v>100</v>
      </c>
      <c r="I19" t="s">
        <v>101</v>
      </c>
    </row>
    <row r="20" spans="1:9" x14ac:dyDescent="0.35">
      <c r="A20" t="s">
        <v>112</v>
      </c>
      <c r="B20" t="s">
        <v>114</v>
      </c>
      <c r="D20" s="2">
        <v>520</v>
      </c>
      <c r="E20" s="2">
        <v>-51757</v>
      </c>
      <c r="F20" t="s">
        <v>13</v>
      </c>
      <c r="G20" t="s">
        <v>117</v>
      </c>
      <c r="H20" t="s">
        <v>115</v>
      </c>
      <c r="I20" t="s">
        <v>116</v>
      </c>
    </row>
    <row r="21" spans="1:9" x14ac:dyDescent="0.35">
      <c r="A21" t="s">
        <v>112</v>
      </c>
      <c r="B21" t="s">
        <v>118</v>
      </c>
      <c r="D21" s="2">
        <v>150</v>
      </c>
      <c r="E21" s="2">
        <v>-51907</v>
      </c>
      <c r="F21" t="s">
        <v>13</v>
      </c>
      <c r="G21" t="s">
        <v>117</v>
      </c>
      <c r="H21" t="s">
        <v>115</v>
      </c>
      <c r="I21" t="s">
        <v>116</v>
      </c>
    </row>
    <row r="22" spans="1:9" x14ac:dyDescent="0.35">
      <c r="A22" t="s">
        <v>112</v>
      </c>
      <c r="B22" t="s">
        <v>119</v>
      </c>
      <c r="D22" s="2">
        <v>1900</v>
      </c>
      <c r="E22" s="2">
        <v>-53807</v>
      </c>
      <c r="F22" t="s">
        <v>13</v>
      </c>
      <c r="G22" t="s">
        <v>122</v>
      </c>
      <c r="H22" t="s">
        <v>120</v>
      </c>
      <c r="I22" t="s">
        <v>121</v>
      </c>
    </row>
    <row r="23" spans="1:9" x14ac:dyDescent="0.35">
      <c r="A23" t="s">
        <v>19</v>
      </c>
      <c r="B23" t="s">
        <v>16</v>
      </c>
      <c r="D23" s="2">
        <v>700</v>
      </c>
      <c r="E23" s="2">
        <v>-2500</v>
      </c>
      <c r="F23" t="s">
        <v>13</v>
      </c>
      <c r="G23" t="s">
        <v>14</v>
      </c>
      <c r="H23" t="s">
        <v>11</v>
      </c>
      <c r="I23" t="s">
        <v>12</v>
      </c>
    </row>
    <row r="24" spans="1:9" x14ac:dyDescent="0.35">
      <c r="A24" t="s">
        <v>19</v>
      </c>
      <c r="B24" t="s">
        <v>10</v>
      </c>
      <c r="D24" s="2">
        <v>450</v>
      </c>
      <c r="E24" s="2">
        <v>-20385</v>
      </c>
      <c r="F24" t="s">
        <v>13</v>
      </c>
      <c r="G24" t="s">
        <v>14</v>
      </c>
      <c r="H24" t="s">
        <v>11</v>
      </c>
      <c r="I24" t="s">
        <v>12</v>
      </c>
    </row>
    <row r="25" spans="1:9" x14ac:dyDescent="0.35">
      <c r="A25" t="s">
        <v>19</v>
      </c>
      <c r="B25" t="s">
        <v>106</v>
      </c>
      <c r="D25" s="2">
        <v>1270</v>
      </c>
      <c r="E25" s="2">
        <v>-47597</v>
      </c>
      <c r="F25" t="s">
        <v>13</v>
      </c>
      <c r="G25" t="s">
        <v>109</v>
      </c>
      <c r="H25" t="s">
        <v>107</v>
      </c>
      <c r="I25" t="s">
        <v>108</v>
      </c>
    </row>
    <row r="26" spans="1:9" x14ac:dyDescent="0.35">
      <c r="A26" t="s">
        <v>19</v>
      </c>
      <c r="B26" t="s">
        <v>123</v>
      </c>
      <c r="D26" s="2">
        <v>4950</v>
      </c>
      <c r="E26" s="2">
        <v>-58757</v>
      </c>
      <c r="F26" t="s">
        <v>13</v>
      </c>
      <c r="G26" t="s">
        <v>14</v>
      </c>
      <c r="H26" t="s">
        <v>11</v>
      </c>
      <c r="I26" t="s">
        <v>12</v>
      </c>
    </row>
    <row r="27" spans="1:9" x14ac:dyDescent="0.35">
      <c r="A27" t="s">
        <v>19</v>
      </c>
      <c r="B27" t="s">
        <v>126</v>
      </c>
      <c r="C27" s="2"/>
      <c r="D27" s="2">
        <v>140</v>
      </c>
      <c r="E27" s="2">
        <v>-60337</v>
      </c>
      <c r="F27" t="s">
        <v>13</v>
      </c>
      <c r="G27" t="s">
        <v>32</v>
      </c>
      <c r="H27" t="s">
        <v>30</v>
      </c>
      <c r="I27" t="s">
        <v>31</v>
      </c>
    </row>
    <row r="28" spans="1:9" x14ac:dyDescent="0.35">
      <c r="A28" t="s">
        <v>19</v>
      </c>
      <c r="B28" t="s">
        <v>24</v>
      </c>
      <c r="C28" s="2"/>
      <c r="D28" s="2">
        <v>164</v>
      </c>
      <c r="E28" s="2">
        <v>-57758</v>
      </c>
      <c r="F28" t="s">
        <v>13</v>
      </c>
      <c r="G28" t="s">
        <v>27</v>
      </c>
      <c r="H28" t="s">
        <v>25</v>
      </c>
      <c r="I28" t="s">
        <v>26</v>
      </c>
    </row>
    <row r="29" spans="1:9" x14ac:dyDescent="0.35">
      <c r="A29" t="s">
        <v>20</v>
      </c>
      <c r="B29" t="s">
        <v>21</v>
      </c>
      <c r="D29" s="2">
        <v>6200</v>
      </c>
      <c r="E29" s="2">
        <v>-8700</v>
      </c>
      <c r="F29" t="s">
        <v>13</v>
      </c>
      <c r="G29" t="s">
        <v>14</v>
      </c>
      <c r="H29" t="s">
        <v>11</v>
      </c>
      <c r="I29" t="s">
        <v>12</v>
      </c>
    </row>
    <row r="30" spans="1:9" x14ac:dyDescent="0.35">
      <c r="A30" t="s">
        <v>20</v>
      </c>
      <c r="B30" t="s">
        <v>22</v>
      </c>
      <c r="D30" s="2">
        <v>1230</v>
      </c>
      <c r="E30" s="2">
        <v>-9930</v>
      </c>
      <c r="F30" t="s">
        <v>13</v>
      </c>
      <c r="G30" t="s">
        <v>14</v>
      </c>
      <c r="H30" t="s">
        <v>11</v>
      </c>
      <c r="I30" t="s">
        <v>12</v>
      </c>
    </row>
    <row r="31" spans="1:9" x14ac:dyDescent="0.35">
      <c r="A31" t="s">
        <v>153</v>
      </c>
      <c r="B31" s="7" t="s">
        <v>154</v>
      </c>
      <c r="C31" s="2"/>
      <c r="D31" s="2">
        <v>3732</v>
      </c>
      <c r="E31" s="2">
        <v>-47490</v>
      </c>
      <c r="F31" t="s">
        <v>157</v>
      </c>
      <c r="G31" t="s">
        <v>158</v>
      </c>
      <c r="H31" t="s">
        <v>155</v>
      </c>
      <c r="I31" t="s">
        <v>156</v>
      </c>
    </row>
    <row r="32" spans="1:9" x14ac:dyDescent="0.35">
      <c r="A32" t="s">
        <v>23</v>
      </c>
      <c r="B32" t="s">
        <v>18</v>
      </c>
      <c r="D32" s="2">
        <v>750</v>
      </c>
      <c r="E32" s="2">
        <v>-10680</v>
      </c>
      <c r="F32" t="s">
        <v>13</v>
      </c>
      <c r="G32" t="s">
        <v>14</v>
      </c>
      <c r="H32" t="s">
        <v>11</v>
      </c>
      <c r="I32" t="s">
        <v>12</v>
      </c>
    </row>
    <row r="33" spans="1:9" x14ac:dyDescent="0.35">
      <c r="A33" t="s">
        <v>23</v>
      </c>
      <c r="B33" t="s">
        <v>24</v>
      </c>
      <c r="D33" s="2">
        <v>90</v>
      </c>
      <c r="E33" s="2">
        <v>-10770</v>
      </c>
      <c r="F33" t="s">
        <v>13</v>
      </c>
      <c r="G33" t="s">
        <v>27</v>
      </c>
      <c r="H33" t="s">
        <v>25</v>
      </c>
      <c r="I33" t="s">
        <v>26</v>
      </c>
    </row>
    <row r="34" spans="1:9" x14ac:dyDescent="0.35">
      <c r="A34" t="s">
        <v>23</v>
      </c>
      <c r="B34" s="7" t="s">
        <v>159</v>
      </c>
      <c r="C34" s="2"/>
      <c r="D34" s="2">
        <v>591.9</v>
      </c>
      <c r="E34" s="2">
        <v>-46898.1</v>
      </c>
      <c r="F34" t="s">
        <v>157</v>
      </c>
      <c r="G34" t="s">
        <v>98</v>
      </c>
      <c r="H34" t="s">
        <v>96</v>
      </c>
      <c r="I34" t="s">
        <v>97</v>
      </c>
    </row>
    <row r="35" spans="1:9" x14ac:dyDescent="0.35">
      <c r="A35" t="s">
        <v>28</v>
      </c>
      <c r="B35" t="s">
        <v>10</v>
      </c>
      <c r="D35" s="2">
        <v>400</v>
      </c>
      <c r="E35" s="2">
        <v>-11170</v>
      </c>
      <c r="F35" t="s">
        <v>13</v>
      </c>
      <c r="G35" t="s">
        <v>14</v>
      </c>
      <c r="H35" t="s">
        <v>11</v>
      </c>
      <c r="I35" t="s">
        <v>12</v>
      </c>
    </row>
    <row r="36" spans="1:9" x14ac:dyDescent="0.35">
      <c r="A36" t="s">
        <v>28</v>
      </c>
      <c r="B36" t="s">
        <v>29</v>
      </c>
      <c r="D36" s="2">
        <v>482</v>
      </c>
      <c r="E36" s="2">
        <v>-11652</v>
      </c>
      <c r="F36" t="s">
        <v>13</v>
      </c>
      <c r="G36" t="s">
        <v>32</v>
      </c>
      <c r="H36" t="s">
        <v>30</v>
      </c>
      <c r="I36" t="s">
        <v>31</v>
      </c>
    </row>
    <row r="37" spans="1:9" x14ac:dyDescent="0.35">
      <c r="A37" t="s">
        <v>28</v>
      </c>
      <c r="B37" t="s">
        <v>164</v>
      </c>
      <c r="C37" s="2"/>
      <c r="D37" s="2">
        <v>20000</v>
      </c>
      <c r="E37" s="2">
        <v>-100249.9</v>
      </c>
      <c r="F37" t="s">
        <v>13</v>
      </c>
    </row>
    <row r="38" spans="1:9" x14ac:dyDescent="0.35">
      <c r="A38" t="s">
        <v>33</v>
      </c>
      <c r="B38" t="s">
        <v>34</v>
      </c>
      <c r="D38" s="2">
        <v>685</v>
      </c>
      <c r="E38" s="2">
        <v>-12337</v>
      </c>
      <c r="F38" t="s">
        <v>13</v>
      </c>
      <c r="G38" t="s">
        <v>32</v>
      </c>
      <c r="H38" t="s">
        <v>30</v>
      </c>
      <c r="I38" t="s">
        <v>31</v>
      </c>
    </row>
    <row r="39" spans="1:9" x14ac:dyDescent="0.35">
      <c r="A39" t="s">
        <v>33</v>
      </c>
      <c r="B39" t="s">
        <v>16</v>
      </c>
      <c r="D39" s="2">
        <v>700</v>
      </c>
      <c r="E39" s="2">
        <v>-13037</v>
      </c>
      <c r="F39" t="s">
        <v>13</v>
      </c>
      <c r="G39" t="s">
        <v>14</v>
      </c>
      <c r="H39" t="s">
        <v>11</v>
      </c>
      <c r="I39" t="s">
        <v>12</v>
      </c>
    </row>
    <row r="40" spans="1:9" x14ac:dyDescent="0.35">
      <c r="A40" t="s">
        <v>33</v>
      </c>
      <c r="B40" t="s">
        <v>35</v>
      </c>
      <c r="D40" s="2">
        <v>155</v>
      </c>
      <c r="E40" s="2">
        <v>-13192</v>
      </c>
      <c r="F40" t="s">
        <v>13</v>
      </c>
      <c r="G40" t="s">
        <v>38</v>
      </c>
      <c r="H40" t="s">
        <v>36</v>
      </c>
      <c r="I40" t="s">
        <v>37</v>
      </c>
    </row>
    <row r="41" spans="1:9" x14ac:dyDescent="0.35">
      <c r="A41" t="s">
        <v>33</v>
      </c>
      <c r="B41" t="s">
        <v>135</v>
      </c>
      <c r="C41" s="2"/>
      <c r="D41" s="2">
        <v>375</v>
      </c>
      <c r="E41" s="2">
        <v>-56983</v>
      </c>
      <c r="F41" t="s">
        <v>13</v>
      </c>
      <c r="G41" t="s">
        <v>32</v>
      </c>
      <c r="H41" t="s">
        <v>30</v>
      </c>
      <c r="I41" t="s">
        <v>31</v>
      </c>
    </row>
    <row r="42" spans="1:9" x14ac:dyDescent="0.35">
      <c r="A42" t="s">
        <v>33</v>
      </c>
      <c r="B42" t="s">
        <v>144</v>
      </c>
      <c r="C42" s="2"/>
      <c r="D42" s="2">
        <v>400</v>
      </c>
      <c r="E42" s="2">
        <v>-55673</v>
      </c>
      <c r="F42" t="s">
        <v>13</v>
      </c>
      <c r="G42" t="s">
        <v>67</v>
      </c>
      <c r="H42" t="s">
        <v>65</v>
      </c>
      <c r="I42" t="s">
        <v>66</v>
      </c>
    </row>
    <row r="43" spans="1:9" x14ac:dyDescent="0.35">
      <c r="A43" t="s">
        <v>44</v>
      </c>
      <c r="B43" t="s">
        <v>45</v>
      </c>
      <c r="D43" s="2">
        <v>488</v>
      </c>
      <c r="E43" s="2">
        <v>-14180</v>
      </c>
      <c r="F43" t="s">
        <v>13</v>
      </c>
      <c r="G43" t="s">
        <v>27</v>
      </c>
      <c r="H43" t="s">
        <v>25</v>
      </c>
      <c r="I43" t="s">
        <v>26</v>
      </c>
    </row>
    <row r="44" spans="1:9" x14ac:dyDescent="0.35">
      <c r="A44" t="s">
        <v>44</v>
      </c>
      <c r="B44" s="7" t="s">
        <v>160</v>
      </c>
      <c r="C44" s="2"/>
      <c r="D44" s="2">
        <v>22614</v>
      </c>
      <c r="E44" s="2">
        <v>-24284.1</v>
      </c>
      <c r="F44" t="s">
        <v>157</v>
      </c>
      <c r="G44" t="s">
        <v>87</v>
      </c>
      <c r="H44" t="s">
        <v>86</v>
      </c>
      <c r="I44" t="s">
        <v>87</v>
      </c>
    </row>
    <row r="45" spans="1:9" x14ac:dyDescent="0.35">
      <c r="A45" t="s">
        <v>39</v>
      </c>
      <c r="B45" t="s">
        <v>40</v>
      </c>
      <c r="D45" s="2">
        <v>500</v>
      </c>
      <c r="E45" s="2">
        <v>-13692</v>
      </c>
      <c r="F45" t="s">
        <v>13</v>
      </c>
      <c r="G45" t="s">
        <v>43</v>
      </c>
      <c r="H45" t="s">
        <v>41</v>
      </c>
      <c r="I45" t="s">
        <v>42</v>
      </c>
    </row>
    <row r="46" spans="1:9" x14ac:dyDescent="0.35">
      <c r="A46" t="s">
        <v>39</v>
      </c>
      <c r="B46" t="s">
        <v>46</v>
      </c>
      <c r="D46" s="2">
        <v>400</v>
      </c>
      <c r="E46" s="2">
        <v>-14580</v>
      </c>
      <c r="F46" t="s">
        <v>13</v>
      </c>
      <c r="G46" t="s">
        <v>14</v>
      </c>
      <c r="H46" t="s">
        <v>11</v>
      </c>
      <c r="I46" t="s">
        <v>12</v>
      </c>
    </row>
    <row r="47" spans="1:9" x14ac:dyDescent="0.35">
      <c r="A47" t="s">
        <v>39</v>
      </c>
      <c r="B47" t="s">
        <v>22</v>
      </c>
      <c r="D47" s="2">
        <v>1060</v>
      </c>
      <c r="E47" s="2">
        <v>-15640</v>
      </c>
      <c r="F47" t="s">
        <v>13</v>
      </c>
      <c r="G47" t="s">
        <v>14</v>
      </c>
      <c r="H47" t="s">
        <v>11</v>
      </c>
      <c r="I47" t="s">
        <v>12</v>
      </c>
    </row>
    <row r="48" spans="1:9" x14ac:dyDescent="0.35">
      <c r="A48" t="s">
        <v>39</v>
      </c>
      <c r="B48" t="s">
        <v>47</v>
      </c>
      <c r="D48" s="2">
        <v>300</v>
      </c>
      <c r="E48" s="2">
        <v>-15940</v>
      </c>
      <c r="F48" t="s">
        <v>13</v>
      </c>
      <c r="G48" t="s">
        <v>14</v>
      </c>
      <c r="H48" t="s">
        <v>11</v>
      </c>
      <c r="I48" t="s">
        <v>12</v>
      </c>
    </row>
    <row r="49" spans="1:9" x14ac:dyDescent="0.35">
      <c r="A49" t="s">
        <v>39</v>
      </c>
      <c r="B49" t="s">
        <v>63</v>
      </c>
      <c r="D49" s="2">
        <v>470</v>
      </c>
      <c r="E49" s="2">
        <v>-19875</v>
      </c>
      <c r="F49" t="s">
        <v>13</v>
      </c>
      <c r="G49" t="s">
        <v>14</v>
      </c>
      <c r="H49" t="s">
        <v>11</v>
      </c>
      <c r="I49" t="s">
        <v>12</v>
      </c>
    </row>
    <row r="50" spans="1:9" x14ac:dyDescent="0.35">
      <c r="A50" t="s">
        <v>39</v>
      </c>
      <c r="B50" t="s">
        <v>64</v>
      </c>
      <c r="D50" s="2">
        <v>60</v>
      </c>
      <c r="E50" s="2">
        <v>-19935</v>
      </c>
      <c r="F50" t="s">
        <v>13</v>
      </c>
      <c r="G50" t="s">
        <v>67</v>
      </c>
      <c r="H50" t="s">
        <v>65</v>
      </c>
      <c r="I50" t="s">
        <v>66</v>
      </c>
    </row>
    <row r="51" spans="1:9" x14ac:dyDescent="0.35">
      <c r="A51" t="s">
        <v>39</v>
      </c>
      <c r="B51" t="s">
        <v>88</v>
      </c>
      <c r="D51" s="2">
        <v>500</v>
      </c>
      <c r="E51" s="2">
        <v>-43330</v>
      </c>
      <c r="F51" t="s">
        <v>13</v>
      </c>
      <c r="G51" t="s">
        <v>14</v>
      </c>
      <c r="H51" t="s">
        <v>11</v>
      </c>
      <c r="I51" t="s">
        <v>12</v>
      </c>
    </row>
    <row r="52" spans="1:9" x14ac:dyDescent="0.35">
      <c r="A52" t="s">
        <v>48</v>
      </c>
      <c r="B52" t="s">
        <v>18</v>
      </c>
      <c r="D52" s="2">
        <v>750</v>
      </c>
      <c r="E52" s="2">
        <v>-16690</v>
      </c>
      <c r="F52" t="s">
        <v>13</v>
      </c>
      <c r="G52" t="s">
        <v>14</v>
      </c>
      <c r="H52" t="s">
        <v>11</v>
      </c>
      <c r="I52" t="s">
        <v>12</v>
      </c>
    </row>
    <row r="53" spans="1:9" x14ac:dyDescent="0.35">
      <c r="A53" t="s">
        <v>49</v>
      </c>
      <c r="B53" t="s">
        <v>50</v>
      </c>
      <c r="D53" s="2">
        <v>1000</v>
      </c>
      <c r="E53" s="2">
        <v>-17690</v>
      </c>
      <c r="F53" t="s">
        <v>13</v>
      </c>
      <c r="G53" t="s">
        <v>52</v>
      </c>
      <c r="H53" t="s">
        <v>51</v>
      </c>
      <c r="I53" t="s">
        <v>52</v>
      </c>
    </row>
    <row r="54" spans="1:9" x14ac:dyDescent="0.35">
      <c r="A54" t="s">
        <v>53</v>
      </c>
      <c r="B54" t="s">
        <v>54</v>
      </c>
      <c r="D54" s="2">
        <v>435</v>
      </c>
      <c r="E54" s="2">
        <v>-18125</v>
      </c>
      <c r="F54" t="s">
        <v>13</v>
      </c>
      <c r="G54" t="s">
        <v>57</v>
      </c>
      <c r="H54" t="s">
        <v>55</v>
      </c>
      <c r="I54" t="s">
        <v>56</v>
      </c>
    </row>
    <row r="55" spans="1:9" x14ac:dyDescent="0.35">
      <c r="A55" t="s">
        <v>53</v>
      </c>
      <c r="B55" t="s">
        <v>10</v>
      </c>
      <c r="D55" s="2">
        <v>400</v>
      </c>
      <c r="E55" s="2">
        <v>-20785</v>
      </c>
      <c r="F55" t="s">
        <v>13</v>
      </c>
      <c r="G55" t="s">
        <v>14</v>
      </c>
      <c r="H55" t="s">
        <v>11</v>
      </c>
      <c r="I55" t="s">
        <v>12</v>
      </c>
    </row>
    <row r="56" spans="1:9" x14ac:dyDescent="0.35">
      <c r="A56" t="s">
        <v>53</v>
      </c>
      <c r="B56" t="s">
        <v>90</v>
      </c>
      <c r="C56" s="2"/>
      <c r="D56" s="2">
        <v>5000</v>
      </c>
      <c r="E56" s="2">
        <v>-39330</v>
      </c>
      <c r="F56" t="s">
        <v>13</v>
      </c>
      <c r="G56" t="s">
        <v>93</v>
      </c>
      <c r="H56" t="s">
        <v>91</v>
      </c>
      <c r="I56" t="s">
        <v>92</v>
      </c>
    </row>
    <row r="57" spans="1:9" x14ac:dyDescent="0.35">
      <c r="A57" t="s">
        <v>58</v>
      </c>
      <c r="B57" t="s">
        <v>59</v>
      </c>
      <c r="D57" s="2">
        <v>800</v>
      </c>
      <c r="E57" s="2">
        <v>-18925</v>
      </c>
      <c r="F57" t="s">
        <v>13</v>
      </c>
      <c r="G57" t="s">
        <v>61</v>
      </c>
      <c r="H57" t="s">
        <v>60</v>
      </c>
      <c r="I57" t="s">
        <v>61</v>
      </c>
    </row>
    <row r="58" spans="1:9" x14ac:dyDescent="0.35">
      <c r="A58" t="s">
        <v>58</v>
      </c>
      <c r="B58" t="s">
        <v>62</v>
      </c>
      <c r="D58" s="2">
        <v>480</v>
      </c>
      <c r="E58" s="2">
        <v>-19405</v>
      </c>
      <c r="F58" t="s">
        <v>13</v>
      </c>
      <c r="G58" t="s">
        <v>61</v>
      </c>
      <c r="H58" t="s">
        <v>60</v>
      </c>
      <c r="I58" t="s">
        <v>61</v>
      </c>
    </row>
    <row r="59" spans="1:9" x14ac:dyDescent="0.35">
      <c r="A59" t="s">
        <v>58</v>
      </c>
      <c r="B59" t="s">
        <v>68</v>
      </c>
      <c r="D59" s="2">
        <v>165</v>
      </c>
      <c r="E59" s="2">
        <v>-20950</v>
      </c>
      <c r="F59" t="s">
        <v>13</v>
      </c>
      <c r="G59" t="s">
        <v>61</v>
      </c>
      <c r="H59" t="s">
        <v>60</v>
      </c>
      <c r="I59" t="s">
        <v>61</v>
      </c>
    </row>
    <row r="60" spans="1:9" x14ac:dyDescent="0.35">
      <c r="A60" t="s">
        <v>69</v>
      </c>
      <c r="B60" t="s">
        <v>16</v>
      </c>
      <c r="D60" s="2">
        <v>700</v>
      </c>
      <c r="E60" s="2">
        <v>-21650</v>
      </c>
      <c r="F60" t="s">
        <v>13</v>
      </c>
      <c r="G60" t="s">
        <v>14</v>
      </c>
      <c r="H60" t="s">
        <v>11</v>
      </c>
      <c r="I60" t="s">
        <v>12</v>
      </c>
    </row>
    <row r="61" spans="1:9" x14ac:dyDescent="0.35">
      <c r="A61" t="s">
        <v>69</v>
      </c>
      <c r="B61" t="s">
        <v>137</v>
      </c>
      <c r="C61" s="2"/>
      <c r="D61" s="2">
        <v>290</v>
      </c>
      <c r="E61" s="2">
        <v>-56223</v>
      </c>
      <c r="F61" t="s">
        <v>13</v>
      </c>
      <c r="G61" t="s">
        <v>109</v>
      </c>
      <c r="H61" t="s">
        <v>138</v>
      </c>
      <c r="I61" t="s">
        <v>139</v>
      </c>
    </row>
    <row r="62" spans="1:9" x14ac:dyDescent="0.35">
      <c r="A62" t="s">
        <v>70</v>
      </c>
      <c r="B62" t="s">
        <v>71</v>
      </c>
      <c r="D62" s="2">
        <v>810</v>
      </c>
      <c r="E62" s="2">
        <v>-22460</v>
      </c>
      <c r="F62" t="s">
        <v>13</v>
      </c>
      <c r="G62" t="s">
        <v>14</v>
      </c>
      <c r="H62" t="s">
        <v>11</v>
      </c>
      <c r="I62" t="s">
        <v>12</v>
      </c>
    </row>
    <row r="63" spans="1:9" x14ac:dyDescent="0.35">
      <c r="A63" t="s">
        <v>70</v>
      </c>
      <c r="B63" t="s">
        <v>72</v>
      </c>
      <c r="D63" s="2">
        <v>1120</v>
      </c>
      <c r="E63" s="2">
        <v>-23580</v>
      </c>
      <c r="F63" t="s">
        <v>13</v>
      </c>
      <c r="G63" t="s">
        <v>32</v>
      </c>
      <c r="H63" t="s">
        <v>30</v>
      </c>
      <c r="I63" t="s">
        <v>31</v>
      </c>
    </row>
    <row r="64" spans="1:9" x14ac:dyDescent="0.35">
      <c r="A64" t="s">
        <v>70</v>
      </c>
      <c r="B64" t="s">
        <v>22</v>
      </c>
      <c r="C64" s="2"/>
      <c r="D64" s="2">
        <v>1696</v>
      </c>
      <c r="E64" s="2">
        <v>-98553.9</v>
      </c>
      <c r="F64" t="s">
        <v>13</v>
      </c>
    </row>
    <row r="65" spans="1:9" x14ac:dyDescent="0.35">
      <c r="A65" t="s">
        <v>73</v>
      </c>
      <c r="B65" t="s">
        <v>74</v>
      </c>
      <c r="D65" s="2">
        <v>300</v>
      </c>
      <c r="E65" s="2">
        <v>-23880</v>
      </c>
      <c r="F65" t="s">
        <v>13</v>
      </c>
      <c r="G65" t="s">
        <v>14</v>
      </c>
      <c r="H65" t="s">
        <v>11</v>
      </c>
      <c r="I65" t="s">
        <v>12</v>
      </c>
    </row>
    <row r="66" spans="1:9" x14ac:dyDescent="0.35">
      <c r="A66" t="s">
        <v>73</v>
      </c>
      <c r="B66" t="s">
        <v>133</v>
      </c>
      <c r="C66" s="2"/>
      <c r="D66" s="2">
        <v>300</v>
      </c>
      <c r="E66" s="2">
        <v>-57458</v>
      </c>
      <c r="F66" t="s">
        <v>13</v>
      </c>
      <c r="G66" t="s">
        <v>67</v>
      </c>
      <c r="H66" t="s">
        <v>65</v>
      </c>
      <c r="I66" t="s">
        <v>66</v>
      </c>
    </row>
    <row r="67" spans="1:9" x14ac:dyDescent="0.35">
      <c r="A67" t="s">
        <v>73</v>
      </c>
      <c r="B67" s="7" t="s">
        <v>161</v>
      </c>
      <c r="C67" s="2"/>
      <c r="D67" s="2">
        <v>2300</v>
      </c>
      <c r="E67" s="2">
        <v>-21984.1</v>
      </c>
      <c r="F67" t="s">
        <v>157</v>
      </c>
      <c r="G67" t="s">
        <v>83</v>
      </c>
      <c r="H67" t="s">
        <v>81</v>
      </c>
      <c r="I67" t="s">
        <v>82</v>
      </c>
    </row>
    <row r="68" spans="1:9" x14ac:dyDescent="0.35">
      <c r="A68" t="s">
        <v>73</v>
      </c>
      <c r="B68" s="7" t="s">
        <v>162</v>
      </c>
      <c r="C68" s="2">
        <v>20000</v>
      </c>
      <c r="D68" s="2">
        <v>0</v>
      </c>
      <c r="E68" s="2">
        <v>-41984.1</v>
      </c>
      <c r="F68" t="s">
        <v>157</v>
      </c>
      <c r="G68" t="s">
        <v>93</v>
      </c>
      <c r="H68" t="s">
        <v>91</v>
      </c>
      <c r="I68" t="s">
        <v>92</v>
      </c>
    </row>
    <row r="69" spans="1:9" x14ac:dyDescent="0.35">
      <c r="A69" t="s">
        <v>75</v>
      </c>
      <c r="B69" t="s">
        <v>76</v>
      </c>
      <c r="D69" s="2">
        <v>500</v>
      </c>
      <c r="E69" s="2">
        <v>-24380</v>
      </c>
      <c r="F69" t="s">
        <v>13</v>
      </c>
      <c r="G69" t="s">
        <v>79</v>
      </c>
      <c r="H69" t="s">
        <v>77</v>
      </c>
      <c r="I69" t="s">
        <v>78</v>
      </c>
    </row>
    <row r="70" spans="1:9" x14ac:dyDescent="0.35">
      <c r="A70" t="s">
        <v>75</v>
      </c>
      <c r="B70" t="s">
        <v>34</v>
      </c>
      <c r="D70" s="2">
        <v>1400</v>
      </c>
      <c r="E70" s="2">
        <v>-25780</v>
      </c>
      <c r="F70" t="s">
        <v>13</v>
      </c>
      <c r="G70" t="s">
        <v>32</v>
      </c>
      <c r="H70" t="s">
        <v>30</v>
      </c>
      <c r="I70" t="s">
        <v>31</v>
      </c>
    </row>
    <row r="71" spans="1:9" x14ac:dyDescent="0.35">
      <c r="A71" t="s">
        <v>75</v>
      </c>
      <c r="B71" t="s">
        <v>80</v>
      </c>
      <c r="D71" s="2">
        <v>450</v>
      </c>
      <c r="E71" s="2">
        <v>-26230</v>
      </c>
      <c r="F71" t="s">
        <v>13</v>
      </c>
      <c r="G71" t="s">
        <v>83</v>
      </c>
      <c r="H71" t="s">
        <v>81</v>
      </c>
      <c r="I71" t="s">
        <v>82</v>
      </c>
    </row>
    <row r="72" spans="1:9" x14ac:dyDescent="0.35">
      <c r="A72" t="s">
        <v>75</v>
      </c>
      <c r="B72" t="s">
        <v>18</v>
      </c>
      <c r="D72" s="2">
        <v>750</v>
      </c>
      <c r="E72" s="2">
        <v>-26980</v>
      </c>
      <c r="F72" t="s">
        <v>13</v>
      </c>
      <c r="G72" t="s">
        <v>14</v>
      </c>
      <c r="H72" t="s">
        <v>11</v>
      </c>
      <c r="I72" t="s">
        <v>12</v>
      </c>
    </row>
    <row r="73" spans="1:9" x14ac:dyDescent="0.35">
      <c r="A73" t="s">
        <v>75</v>
      </c>
      <c r="B73" t="s">
        <v>125</v>
      </c>
      <c r="C73" s="2"/>
      <c r="D73" s="2">
        <v>240</v>
      </c>
      <c r="E73" s="2">
        <v>-60477</v>
      </c>
      <c r="F73" t="s">
        <v>13</v>
      </c>
      <c r="G73" t="s">
        <v>61</v>
      </c>
      <c r="H73" t="s">
        <v>60</v>
      </c>
      <c r="I73" t="s">
        <v>61</v>
      </c>
    </row>
    <row r="74" spans="1:9" x14ac:dyDescent="0.35">
      <c r="A74" t="s">
        <v>84</v>
      </c>
      <c r="B74" t="s">
        <v>85</v>
      </c>
      <c r="D74" s="2">
        <v>15850</v>
      </c>
      <c r="E74" s="2">
        <v>-42830</v>
      </c>
      <c r="F74" t="s">
        <v>13</v>
      </c>
      <c r="G74" t="s">
        <v>87</v>
      </c>
      <c r="H74" t="s">
        <v>86</v>
      </c>
      <c r="I74" t="s">
        <v>87</v>
      </c>
    </row>
    <row r="75" spans="1:9" x14ac:dyDescent="0.35">
      <c r="A75" t="s">
        <v>84</v>
      </c>
      <c r="B75" t="s">
        <v>89</v>
      </c>
      <c r="D75" s="2">
        <v>1000</v>
      </c>
      <c r="E75" s="2">
        <v>-44330</v>
      </c>
      <c r="F75" t="s">
        <v>13</v>
      </c>
      <c r="G75" t="s">
        <v>61</v>
      </c>
      <c r="H75" t="s">
        <v>60</v>
      </c>
      <c r="I75" t="s">
        <v>61</v>
      </c>
    </row>
    <row r="76" spans="1:9" x14ac:dyDescent="0.35">
      <c r="A76" t="s">
        <v>84</v>
      </c>
      <c r="B76" t="s">
        <v>124</v>
      </c>
      <c r="C76" s="2"/>
      <c r="D76" s="2">
        <v>400</v>
      </c>
      <c r="E76" s="2">
        <v>-60717</v>
      </c>
      <c r="F76" t="s">
        <v>13</v>
      </c>
      <c r="G76" t="s">
        <v>109</v>
      </c>
      <c r="H76" t="s">
        <v>107</v>
      </c>
      <c r="I76" t="s">
        <v>108</v>
      </c>
    </row>
    <row r="77" spans="1:9" x14ac:dyDescent="0.35">
      <c r="A77" t="s">
        <v>84</v>
      </c>
      <c r="B77" t="s">
        <v>129</v>
      </c>
      <c r="C77" s="2"/>
      <c r="D77" s="2">
        <v>1470</v>
      </c>
      <c r="E77" s="2">
        <v>-58222</v>
      </c>
      <c r="F77" t="s">
        <v>13</v>
      </c>
      <c r="G77" t="s">
        <v>87</v>
      </c>
      <c r="H77" t="s">
        <v>86</v>
      </c>
      <c r="I77" t="s">
        <v>87</v>
      </c>
    </row>
    <row r="78" spans="1:9" x14ac:dyDescent="0.35">
      <c r="A78" t="s">
        <v>84</v>
      </c>
      <c r="B78" t="s">
        <v>130</v>
      </c>
      <c r="C78" s="2"/>
      <c r="D78" s="2">
        <v>300</v>
      </c>
      <c r="E78" s="2">
        <v>-57922</v>
      </c>
      <c r="F78" t="s">
        <v>13</v>
      </c>
      <c r="G78" t="s">
        <v>109</v>
      </c>
      <c r="H78" t="s">
        <v>131</v>
      </c>
      <c r="I78" t="s">
        <v>132</v>
      </c>
    </row>
    <row r="79" spans="1:9" x14ac:dyDescent="0.35">
      <c r="A79" t="s">
        <v>84</v>
      </c>
      <c r="B79" t="s">
        <v>136</v>
      </c>
      <c r="C79" s="2"/>
      <c r="D79" s="2">
        <v>470</v>
      </c>
      <c r="E79" s="2">
        <v>-56513</v>
      </c>
      <c r="F79" t="s">
        <v>13</v>
      </c>
      <c r="G79" t="s">
        <v>87</v>
      </c>
      <c r="H79" t="s">
        <v>86</v>
      </c>
      <c r="I79" t="s">
        <v>87</v>
      </c>
    </row>
    <row r="80" spans="1:9" x14ac:dyDescent="0.35">
      <c r="A80" t="s">
        <v>84</v>
      </c>
      <c r="B80" t="s">
        <v>151</v>
      </c>
      <c r="C80" s="2"/>
      <c r="D80" s="2">
        <v>1470</v>
      </c>
      <c r="E80" s="2">
        <v>-53452</v>
      </c>
      <c r="F80" t="s">
        <v>13</v>
      </c>
      <c r="G80" t="s">
        <v>87</v>
      </c>
      <c r="H80" t="s">
        <v>86</v>
      </c>
      <c r="I80" t="s">
        <v>87</v>
      </c>
    </row>
    <row r="81" spans="1:9" x14ac:dyDescent="0.35">
      <c r="A81" t="s">
        <v>84</v>
      </c>
      <c r="B81" t="s">
        <v>152</v>
      </c>
      <c r="C81" s="2"/>
      <c r="D81" s="2">
        <v>2230</v>
      </c>
      <c r="E81" s="2">
        <v>-51222</v>
      </c>
      <c r="F81" t="s">
        <v>13</v>
      </c>
      <c r="G81" t="s">
        <v>14</v>
      </c>
      <c r="H81" t="s">
        <v>11</v>
      </c>
      <c r="I81" t="s">
        <v>12</v>
      </c>
    </row>
    <row r="82" spans="1:9" x14ac:dyDescent="0.35">
      <c r="A82" s="3" t="s">
        <v>163</v>
      </c>
      <c r="C82" s="5">
        <f>SUM(C2:C81)</f>
        <v>20000</v>
      </c>
      <c r="D82" s="5">
        <f>SUM(D2:D81)</f>
        <v>131945.9</v>
      </c>
      <c r="E82" s="4">
        <v>-41984.1</v>
      </c>
    </row>
    <row r="84" spans="1:9" x14ac:dyDescent="0.35">
      <c r="D84" s="6"/>
    </row>
  </sheetData>
  <sortState ref="A2:I84">
    <sortCondition ref="A2:A84"/>
  </sortState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eliss</cp:lastModifiedBy>
  <dcterms:created xsi:type="dcterms:W3CDTF">2025-12-02T08:51:18Z</dcterms:created>
  <dcterms:modified xsi:type="dcterms:W3CDTF">2025-12-02T16:38:14Z</dcterms:modified>
</cp:coreProperties>
</file>