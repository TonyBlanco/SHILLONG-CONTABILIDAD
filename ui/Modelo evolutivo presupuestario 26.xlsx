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j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9DCF5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2" fillId="2" borderId="0" pivotButton="0" quotePrefix="0" xfId="0"/>
    <xf numFmtId="4" fontId="0" fillId="0" borderId="0" pivotButton="0" quotePrefix="0" xfId="0"/>
    <xf numFmtId="4" fontId="2" fillId="3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K101"/>
  <sheetViews>
    <sheetView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10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4">
      <c r="C4" s="1" t="inlineStr">
        <is>
          <t>MODELO EVOLUTIVO PRESUPUESTARIO 26</t>
        </is>
      </c>
      <c r="F4" s="2" t="inlineStr">
        <is>
          <t>FECHA:</t>
        </is>
      </c>
      <c r="G4" s="3" t="n">
        <v>46053</v>
      </c>
    </row>
    <row r="5"/>
    <row r="6">
      <c r="C6" s="4" t="inlineStr">
        <is>
          <t>CUENTAS</t>
        </is>
      </c>
      <c r="D6" s="4" t="inlineStr">
        <is>
          <t>GASTOS</t>
        </is>
      </c>
      <c r="E6" s="4" t="inlineStr">
        <is>
          <t>MES CORRIENTE</t>
        </is>
      </c>
      <c r="F6" s="4" t="inlineStr">
        <is>
          <t>BANCO</t>
        </is>
      </c>
      <c r="G6" s="4" t="inlineStr">
        <is>
          <t>CAJA</t>
        </is>
      </c>
      <c r="H6" s="4" t="inlineStr">
        <is>
          <t>GASTO MESES ANTERIORES</t>
        </is>
      </c>
      <c r="I6" s="4" t="inlineStr">
        <is>
          <t>SUMA DE GASTO ACUMULADO</t>
        </is>
      </c>
      <c r="J6" s="4" t="inlineStr">
        <is>
          <t>PRESUPUESTO 2026</t>
        </is>
      </c>
      <c r="K6" s="4" t="inlineStr">
        <is>
          <t>DIFERENCIA</t>
        </is>
      </c>
    </row>
    <row r="8">
      <c r="C8" s="2" t="inlineStr">
        <is>
          <t>SALDO A 31/12/2025</t>
        </is>
      </c>
    </row>
    <row r="9">
      <c r="C9" t="n">
        <v>600000</v>
      </c>
      <c r="D9" t="inlineStr">
        <is>
          <t>Compra de farmacia y material sanitario</t>
        </is>
      </c>
      <c r="E9" s="5">
        <f>+F9+G9</f>
        <v/>
      </c>
      <c r="F9" s="5" t="n"/>
      <c r="G9" s="5" t="n"/>
      <c r="H9" s="5" t="n">
        <v>0</v>
      </c>
      <c r="I9" s="5">
        <f>+E9+H9</f>
        <v/>
      </c>
      <c r="J9" s="5">
        <f>68000</f>
        <v/>
      </c>
      <c r="K9" s="5">
        <f>+J9-I9</f>
        <v/>
      </c>
    </row>
    <row r="10">
      <c r="C10" t="n">
        <v>602100</v>
      </c>
      <c r="D10" t="inlineStr">
        <is>
          <t>Compra de combustibles</t>
        </is>
      </c>
      <c r="E10" s="5">
        <f>+F10+G10</f>
        <v/>
      </c>
      <c r="F10" s="5" t="n"/>
      <c r="G10" s="5" t="n"/>
      <c r="H10" s="5" t="n">
        <v>0</v>
      </c>
      <c r="I10" s="5">
        <f>+E10+H10</f>
        <v/>
      </c>
      <c r="J10" s="5">
        <f>15000</f>
        <v/>
      </c>
      <c r="K10" s="5">
        <f>+J10-I10</f>
        <v/>
      </c>
    </row>
    <row r="11">
      <c r="C11" t="n">
        <v>602300</v>
      </c>
      <c r="D11" t="inlineStr">
        <is>
          <t>C. de mat. reposición y conserv. - reparaciones</t>
        </is>
      </c>
      <c r="E11" s="5">
        <f>+F11+G11</f>
        <v/>
      </c>
      <c r="F11" s="5" t="n"/>
      <c r="G11" s="5" t="n"/>
      <c r="H11" s="5" t="n">
        <v>0</v>
      </c>
      <c r="I11" s="5">
        <f>+E11+H11</f>
        <v/>
      </c>
      <c r="J11" s="5">
        <f>0</f>
        <v/>
      </c>
      <c r="K11" s="5">
        <f>+J11-I11</f>
        <v/>
      </c>
    </row>
    <row r="12">
      <c r="C12" t="n">
        <v>602400</v>
      </c>
      <c r="D12" t="inlineStr">
        <is>
          <t>C. de mat. de limp., lavandería, peluquería y aseo</t>
        </is>
      </c>
      <c r="E12" s="5">
        <f>SUM(E13:E31)</f>
        <v/>
      </c>
      <c r="F12" s="5">
        <f>SUM(F13:F31)</f>
        <v/>
      </c>
      <c r="G12" s="5">
        <f>SUM(G13:G31)</f>
        <v/>
      </c>
      <c r="H12" s="5">
        <f>SUM(H13:H31)</f>
        <v/>
      </c>
      <c r="I12" s="5">
        <f>SUM(I13:I31)</f>
        <v/>
      </c>
      <c r="J12" s="5">
        <f>0</f>
        <v/>
      </c>
      <c r="K12" s="5">
        <f>SUM(K13:K31)</f>
        <v/>
      </c>
    </row>
    <row r="13">
      <c r="C13" t="n">
        <v>602400</v>
      </c>
      <c r="D13" t="inlineStr">
        <is>
          <t>Material de limpieza</t>
        </is>
      </c>
      <c r="E13" s="5">
        <f>+F13+G13</f>
        <v/>
      </c>
      <c r="F13" s="5" t="n"/>
      <c r="G13" s="5" t="n"/>
      <c r="H13" s="5" t="n">
        <v>0</v>
      </c>
      <c r="I13" s="5">
        <f>+E13+H13</f>
        <v/>
      </c>
      <c r="J13" s="5">
        <f>0</f>
        <v/>
      </c>
      <c r="K13" s="5">
        <f>+J13-I13</f>
        <v/>
      </c>
    </row>
    <row r="14">
      <c r="C14" t="n">
        <v>620401</v>
      </c>
      <c r="D14" t="inlineStr">
        <is>
          <t>Material de lavandería</t>
        </is>
      </c>
      <c r="E14" s="5">
        <f>+F14+G14</f>
        <v/>
      </c>
      <c r="F14" s="5" t="n"/>
      <c r="G14" s="5" t="n"/>
      <c r="H14" s="5" t="n">
        <v>0</v>
      </c>
      <c r="I14" s="5">
        <f>+E14+H14</f>
        <v/>
      </c>
      <c r="J14" s="5">
        <f>0</f>
        <v/>
      </c>
      <c r="K14" s="5">
        <f>+J14-I14</f>
        <v/>
      </c>
    </row>
    <row r="15">
      <c r="C15" t="n">
        <v>602402</v>
      </c>
      <c r="D15" t="inlineStr">
        <is>
          <t>Material de aseo personal</t>
        </is>
      </c>
      <c r="E15" s="5">
        <f>+F15+G15</f>
        <v/>
      </c>
      <c r="F15" s="5" t="n"/>
      <c r="G15" s="5" t="n"/>
      <c r="H15" s="5" t="n">
        <v>0</v>
      </c>
      <c r="I15" s="5">
        <f>+E15+H15</f>
        <v/>
      </c>
      <c r="J15" s="5">
        <f>0</f>
        <v/>
      </c>
      <c r="K15" s="5">
        <f>+J15-I15</f>
        <v/>
      </c>
    </row>
    <row r="16">
      <c r="C16" t="n">
        <v>602403</v>
      </c>
      <c r="D16" t="inlineStr">
        <is>
          <t>Material de peluquería</t>
        </is>
      </c>
      <c r="E16" s="5">
        <f>+F16+G16</f>
        <v/>
      </c>
      <c r="F16" s="5" t="n"/>
      <c r="G16" s="5" t="n"/>
      <c r="H16" s="5" t="n">
        <v>0</v>
      </c>
      <c r="I16" s="5">
        <f>+E16+H16</f>
        <v/>
      </c>
      <c r="J16" s="5">
        <f>0</f>
        <v/>
      </c>
      <c r="K16" s="5">
        <f>+J16-I16</f>
        <v/>
      </c>
    </row>
    <row r="17">
      <c r="C17" t="n">
        <v>602500</v>
      </c>
      <c r="D17" t="inlineStr">
        <is>
          <t>Compra de mat. de oficina, impresos e informática</t>
        </is>
      </c>
      <c r="E17" s="5">
        <f>+F17+G17</f>
        <v/>
      </c>
      <c r="F17" s="5" t="n"/>
      <c r="G17" s="5" t="n"/>
      <c r="H17" s="5" t="n">
        <v>0</v>
      </c>
      <c r="I17" s="5">
        <f>+E17+H17</f>
        <v/>
      </c>
      <c r="J17" s="5">
        <f>25000</f>
        <v/>
      </c>
      <c r="K17" s="5">
        <f>+J17-I17</f>
        <v/>
      </c>
    </row>
    <row r="18">
      <c r="D18" t="inlineStr">
        <is>
          <t>Otros aprovis. + duración</t>
        </is>
      </c>
      <c r="E18" s="5">
        <f>+F18+G18</f>
        <v/>
      </c>
      <c r="F18" s="5" t="n"/>
      <c r="G18" s="5" t="n"/>
      <c r="H18" s="5" t="n">
        <v>0</v>
      </c>
      <c r="I18" s="5">
        <f>+E18+H18</f>
        <v/>
      </c>
      <c r="J18" s="5">
        <f>7000</f>
        <v/>
      </c>
      <c r="K18" s="5">
        <f>+J18-I18</f>
        <v/>
      </c>
    </row>
    <row r="19">
      <c r="C19" t="n">
        <v>603000</v>
      </c>
      <c r="D19" t="inlineStr">
        <is>
          <t>Compra de comestibles y bebidas</t>
        </is>
      </c>
      <c r="E19" s="5">
        <f>+F19+G19</f>
        <v/>
      </c>
      <c r="F19" s="5" t="n"/>
      <c r="G19" s="5" t="n"/>
      <c r="H19" s="5" t="n">
        <v>0</v>
      </c>
      <c r="I19" s="5">
        <f>+E19+H19</f>
        <v/>
      </c>
      <c r="J19" s="5">
        <f>400000</f>
        <v/>
      </c>
      <c r="K19" s="5">
        <f>+J19-I19</f>
        <v/>
      </c>
    </row>
    <row r="20">
      <c r="C20" t="n">
        <v>605000</v>
      </c>
      <c r="D20" t="inlineStr">
        <is>
          <t>C. de pequeño utillaje, vajilla y objetos de adorno</t>
        </is>
      </c>
      <c r="E20" s="5">
        <f>+F20+G20</f>
        <v/>
      </c>
      <c r="F20" s="5" t="n"/>
      <c r="G20" s="5" t="n"/>
      <c r="H20" s="5" t="n">
        <v>0</v>
      </c>
      <c r="I20" s="5">
        <f>+E20+H20</f>
        <v/>
      </c>
      <c r="J20" s="5">
        <f>15000</f>
        <v/>
      </c>
      <c r="K20" s="5">
        <f>+J20-I20</f>
        <v/>
      </c>
    </row>
    <row r="21">
      <c r="C21" t="n">
        <v>606000</v>
      </c>
      <c r="D21" t="inlineStr">
        <is>
          <t>C. de ropería personal, hogar y objetos personales</t>
        </is>
      </c>
      <c r="E21" s="5">
        <f>+F21+G21</f>
        <v/>
      </c>
      <c r="F21" s="5" t="n"/>
      <c r="G21" s="5" t="n"/>
      <c r="H21" s="5" t="n">
        <v>0</v>
      </c>
      <c r="I21" s="5">
        <f>+E21+H21</f>
        <v/>
      </c>
      <c r="J21" s="5">
        <f>50000</f>
        <v/>
      </c>
      <c r="K21" s="5">
        <f>+J21-I21</f>
        <v/>
      </c>
    </row>
    <row r="22">
      <c r="C22" t="n">
        <v>622000</v>
      </c>
      <c r="D22" t="inlineStr">
        <is>
          <t>Reparaciones y conservación</t>
        </is>
      </c>
      <c r="E22" s="5">
        <f>+F22+G22</f>
        <v/>
      </c>
      <c r="F22" s="5" t="n"/>
      <c r="G22" s="5" t="n"/>
      <c r="H22" s="5" t="n">
        <v>0</v>
      </c>
      <c r="I22" s="5">
        <f>+E22+H22</f>
        <v/>
      </c>
      <c r="J22" s="5">
        <f>80000</f>
        <v/>
      </c>
      <c r="K22" s="5">
        <f>+J22-I22</f>
        <v/>
      </c>
    </row>
    <row r="23">
      <c r="C23" t="n">
        <v>622150</v>
      </c>
      <c r="D23" t="inlineStr">
        <is>
          <t>Mantenimiento y reparaciones</t>
        </is>
      </c>
      <c r="E23" s="5">
        <f>+F23+G23</f>
        <v/>
      </c>
      <c r="F23" s="5" t="n"/>
      <c r="G23" s="5" t="n"/>
      <c r="H23" s="5" t="n">
        <v>0</v>
      </c>
      <c r="I23" s="5">
        <f>+E23+H23</f>
        <v/>
      </c>
      <c r="J23" s="5">
        <f>0</f>
        <v/>
      </c>
      <c r="K23" s="5">
        <f>+J23-I23</f>
        <v/>
      </c>
    </row>
    <row r="24">
      <c r="C24" t="n">
        <v>623000</v>
      </c>
      <c r="D24" t="inlineStr">
        <is>
          <t>Servicios profesionales indep.</t>
        </is>
      </c>
      <c r="E24" s="5">
        <f>+F24+G24</f>
        <v/>
      </c>
      <c r="F24" s="5" t="n"/>
      <c r="G24" s="5" t="n"/>
      <c r="H24" s="5" t="n">
        <v>0</v>
      </c>
      <c r="I24" s="5">
        <f>+E24+H24</f>
        <v/>
      </c>
      <c r="J24" s="5">
        <f>60000</f>
        <v/>
      </c>
      <c r="K24" s="5">
        <f>+J24-I24</f>
        <v/>
      </c>
    </row>
    <row r="25">
      <c r="C25" t="n">
        <v>607000</v>
      </c>
      <c r="D25" t="inlineStr">
        <is>
          <t>Trabajos realizados por empresas o profesionales</t>
        </is>
      </c>
      <c r="E25" s="5">
        <f>+F25+G25</f>
        <v/>
      </c>
      <c r="F25" s="5" t="n"/>
      <c r="G25" s="5" t="n"/>
      <c r="H25" s="5" t="n">
        <v>0</v>
      </c>
      <c r="I25" s="5">
        <f>+E25+H25</f>
        <v/>
      </c>
      <c r="J25" s="5">
        <f>0</f>
        <v/>
      </c>
      <c r="K25" s="5">
        <f>+J25-I25</f>
        <v/>
      </c>
    </row>
    <row r="26">
      <c r="C26" t="n">
        <v>607400</v>
      </c>
      <c r="D26" t="inlineStr">
        <is>
          <t>Servicios empresa de cocina</t>
        </is>
      </c>
      <c r="E26" s="5">
        <f>+F26+G26</f>
        <v/>
      </c>
      <c r="F26" s="5" t="n"/>
      <c r="G26" s="5" t="n"/>
      <c r="H26" s="5" t="n">
        <v>0</v>
      </c>
      <c r="I26" s="5">
        <f>+E26+H26</f>
        <v/>
      </c>
      <c r="J26" s="5">
        <f>0</f>
        <v/>
      </c>
      <c r="K26" s="5">
        <f>+J26-I26</f>
        <v/>
      </c>
    </row>
    <row r="27">
      <c r="C27" t="n">
        <v>607500</v>
      </c>
      <c r="D27" t="inlineStr">
        <is>
          <t>Servicios empresa de limpieza</t>
        </is>
      </c>
      <c r="E27" s="5">
        <f>+F27+G27</f>
        <v/>
      </c>
      <c r="F27" s="5" t="n"/>
      <c r="G27" s="5" t="n"/>
      <c r="H27" s="5" t="n">
        <v>0</v>
      </c>
      <c r="I27" s="5">
        <f>+E27+H27</f>
        <v/>
      </c>
      <c r="J27" s="5">
        <f>0</f>
        <v/>
      </c>
      <c r="K27" s="5">
        <f>+J27-I27</f>
        <v/>
      </c>
    </row>
    <row r="28">
      <c r="C28" t="n">
        <v>607900</v>
      </c>
      <c r="D28" t="inlineStr">
        <is>
          <t>Servicios de lavandería y otros</t>
        </is>
      </c>
      <c r="E28" s="5">
        <f>+F28+G28</f>
        <v/>
      </c>
      <c r="F28" s="5" t="n"/>
      <c r="G28" s="5" t="n"/>
      <c r="H28" s="5" t="n">
        <v>0</v>
      </c>
      <c r="I28" s="5">
        <f>+E28+H28</f>
        <v/>
      </c>
      <c r="J28" s="5">
        <f>0</f>
        <v/>
      </c>
      <c r="K28" s="5">
        <f>+J28-I28</f>
        <v/>
      </c>
    </row>
    <row r="29">
      <c r="C29" t="n">
        <v>625000</v>
      </c>
      <c r="D29" t="inlineStr">
        <is>
          <t>Primas de seguros</t>
        </is>
      </c>
      <c r="E29" s="5">
        <f>+F29+G29</f>
        <v/>
      </c>
      <c r="F29" s="5" t="n"/>
      <c r="G29" s="5" t="n"/>
      <c r="H29" s="5" t="n">
        <v>0</v>
      </c>
      <c r="I29" s="5">
        <f>+E29+H29</f>
        <v/>
      </c>
      <c r="J29" s="5">
        <f>0</f>
        <v/>
      </c>
      <c r="K29" s="5">
        <f>+J29-I29</f>
        <v/>
      </c>
    </row>
    <row r="30">
      <c r="C30" t="n">
        <v>669000</v>
      </c>
      <c r="D30" t="inlineStr">
        <is>
          <t>Tasas bancarias</t>
        </is>
      </c>
      <c r="E30" s="5">
        <f>+F30+G30</f>
        <v/>
      </c>
      <c r="F30" s="5" t="n"/>
      <c r="G30" s="5" t="n"/>
      <c r="H30" s="5" t="n">
        <v>0</v>
      </c>
      <c r="I30" s="5">
        <f>+E30+H30</f>
        <v/>
      </c>
      <c r="J30" s="5">
        <f>1000</f>
        <v/>
      </c>
      <c r="K30" s="5">
        <f>+J30-I30</f>
        <v/>
      </c>
    </row>
    <row r="31">
      <c r="C31" t="n">
        <v>627000</v>
      </c>
      <c r="D31" t="inlineStr">
        <is>
          <t>Publicidad, relac. públicas, obsequio pers. exterior</t>
        </is>
      </c>
      <c r="E31" s="5">
        <f>+F31+G31</f>
        <v/>
      </c>
      <c r="F31" s="5" t="n"/>
      <c r="G31" s="5" t="n"/>
      <c r="H31" s="5" t="n">
        <v>0</v>
      </c>
      <c r="I31" s="5">
        <f>+E31+H31</f>
        <v/>
      </c>
      <c r="J31" s="5">
        <f>30000</f>
        <v/>
      </c>
      <c r="K31" s="5">
        <f>+J31-I31</f>
        <v/>
      </c>
    </row>
    <row r="32">
      <c r="C32" t="n">
        <v>628000</v>
      </c>
      <c r="D32" t="inlineStr">
        <is>
          <t>Suministros</t>
        </is>
      </c>
      <c r="E32" s="5">
        <f>SUM(E33:E42)</f>
        <v/>
      </c>
      <c r="F32" s="5">
        <f>SUM(F33:F42)</f>
        <v/>
      </c>
      <c r="G32" s="5">
        <f>SUM(G33:G42)</f>
        <v/>
      </c>
      <c r="H32" s="5">
        <f>SUM(H33:H42)</f>
        <v/>
      </c>
      <c r="I32" s="5">
        <f>SUM(I33:I42)</f>
        <v/>
      </c>
      <c r="J32" s="5">
        <f>60000</f>
        <v/>
      </c>
      <c r="K32" s="5">
        <f>SUM(K33:K42)</f>
        <v/>
      </c>
    </row>
    <row r="33">
      <c r="C33" t="n">
        <v>628010</v>
      </c>
      <c r="D33" t="inlineStr">
        <is>
          <t>Suministro gas ciudad</t>
        </is>
      </c>
      <c r="E33" s="5">
        <f>+F33+G33</f>
        <v/>
      </c>
      <c r="F33" s="5" t="n"/>
      <c r="G33" s="5" t="n"/>
      <c r="H33" s="5" t="n">
        <v>0</v>
      </c>
      <c r="I33" s="5">
        <f>+E33+H33</f>
        <v/>
      </c>
      <c r="J33" s="5">
        <f>0</f>
        <v/>
      </c>
      <c r="K33" s="5">
        <f>+J33-I33</f>
        <v/>
      </c>
    </row>
    <row r="34">
      <c r="C34" t="n">
        <v>628020</v>
      </c>
      <c r="D34" t="inlineStr">
        <is>
          <t>Suministro agua</t>
        </is>
      </c>
      <c r="E34" s="5">
        <f>+F34+G34</f>
        <v/>
      </c>
      <c r="F34" s="5" t="n"/>
      <c r="G34" s="5" t="n"/>
      <c r="H34" s="5" t="n">
        <v>0</v>
      </c>
      <c r="I34" s="5">
        <f>+E34+H34</f>
        <v/>
      </c>
      <c r="J34" s="5">
        <f>0</f>
        <v/>
      </c>
      <c r="K34" s="5">
        <f>+J34-I34</f>
        <v/>
      </c>
    </row>
    <row r="35">
      <c r="C35" t="n">
        <v>628030</v>
      </c>
      <c r="D35" t="inlineStr">
        <is>
          <t>Suministro electricidad</t>
        </is>
      </c>
      <c r="E35" s="5">
        <f>+F35+G35</f>
        <v/>
      </c>
      <c r="F35" s="5" t="n"/>
      <c r="G35" s="5" t="n"/>
      <c r="H35" s="5" t="n">
        <v>0</v>
      </c>
      <c r="I35" s="5">
        <f>+E35+H35</f>
        <v/>
      </c>
      <c r="J35" s="5">
        <f>60000</f>
        <v/>
      </c>
      <c r="K35" s="5">
        <f>+J35-I35</f>
        <v/>
      </c>
    </row>
    <row r="36">
      <c r="C36" t="n">
        <v>629100</v>
      </c>
      <c r="D36" t="inlineStr">
        <is>
          <t>Viajes</t>
        </is>
      </c>
      <c r="E36" s="5">
        <f>+F36+G36</f>
        <v/>
      </c>
      <c r="F36" s="5" t="n"/>
      <c r="G36" s="5" t="n"/>
      <c r="H36" s="5" t="n">
        <v>0</v>
      </c>
      <c r="I36" s="5">
        <f>+E36+H36</f>
        <v/>
      </c>
      <c r="J36" s="5">
        <f>280000</f>
        <v/>
      </c>
      <c r="K36" s="5">
        <f>+J36-I36</f>
        <v/>
      </c>
    </row>
    <row r="37">
      <c r="C37" t="n">
        <v>629106</v>
      </c>
      <c r="D37" t="inlineStr">
        <is>
          <t>Gastos varios en viajes</t>
        </is>
      </c>
      <c r="E37" s="5">
        <f>+F37+G37</f>
        <v/>
      </c>
      <c r="F37" s="5" t="n"/>
      <c r="G37" s="5" t="n"/>
      <c r="H37" s="5" t="n">
        <v>0</v>
      </c>
      <c r="I37" s="5">
        <f>+E37+H37</f>
        <v/>
      </c>
      <c r="J37" s="5">
        <f>0</f>
        <v/>
      </c>
      <c r="K37" s="5">
        <f>+J37-I37</f>
        <v/>
      </c>
    </row>
    <row r="38">
      <c r="C38" t="n">
        <v>629200</v>
      </c>
      <c r="D38" t="inlineStr">
        <is>
          <t>Teléfonos, internet, mensajerías y correos</t>
        </is>
      </c>
      <c r="E38" s="5">
        <f>+F38+G38</f>
        <v/>
      </c>
      <c r="F38" s="5" t="n"/>
      <c r="G38" s="5" t="n"/>
      <c r="H38" s="5" t="n">
        <v>0</v>
      </c>
      <c r="I38" s="5">
        <f>+E38+H38</f>
        <v/>
      </c>
      <c r="J38" s="5">
        <f>40000</f>
        <v/>
      </c>
      <c r="K38" s="5">
        <f>+J38-I38</f>
        <v/>
      </c>
    </row>
    <row r="39">
      <c r="C39" t="n">
        <v>629990</v>
      </c>
      <c r="D39" t="inlineStr">
        <is>
          <t>Gastos piso comunidad de vecinos</t>
        </is>
      </c>
      <c r="E39" s="5">
        <f>+F39+G39</f>
        <v/>
      </c>
      <c r="F39" s="5" t="n"/>
      <c r="G39" s="5" t="n"/>
      <c r="H39" s="5" t="n">
        <v>0</v>
      </c>
      <c r="I39" s="5">
        <f>+E39+H39</f>
        <v/>
      </c>
      <c r="J39" s="5">
        <f>0</f>
        <v/>
      </c>
      <c r="K39" s="5">
        <f>+J39-I39</f>
        <v/>
      </c>
    </row>
    <row r="40">
      <c r="C40" t="n">
        <v>631000</v>
      </c>
      <c r="D40" t="inlineStr">
        <is>
          <t>Impuestos y tasas, seguro Moto</t>
        </is>
      </c>
      <c r="E40" s="5">
        <f>+F40+G40</f>
        <v/>
      </c>
      <c r="F40" s="5" t="n"/>
      <c r="G40" s="5" t="n"/>
      <c r="H40" s="5" t="n">
        <v>0</v>
      </c>
      <c r="I40" s="5">
        <f>+E40+H40</f>
        <v/>
      </c>
      <c r="J40" s="5">
        <f>2000</f>
        <v/>
      </c>
      <c r="K40" s="5">
        <f>+J40-I40</f>
        <v/>
      </c>
    </row>
    <row r="41">
      <c r="C41" t="n">
        <v>640000</v>
      </c>
      <c r="D41" t="inlineStr">
        <is>
          <t>Sueldos y salarios</t>
        </is>
      </c>
      <c r="E41" s="5">
        <f>+F41+G41</f>
        <v/>
      </c>
      <c r="F41" s="5" t="n"/>
      <c r="G41" s="5" t="n"/>
      <c r="H41" s="5" t="n">
        <v>0</v>
      </c>
      <c r="I41" s="5">
        <f>+E41+H41</f>
        <v/>
      </c>
      <c r="J41" s="5">
        <f>0</f>
        <v/>
      </c>
      <c r="K41" s="5">
        <f>+J41-I41</f>
        <v/>
      </c>
    </row>
    <row r="42">
      <c r="C42" t="n">
        <v>642000</v>
      </c>
      <c r="D42" t="inlineStr">
        <is>
          <t>Seguridad Social</t>
        </is>
      </c>
      <c r="E42" s="5">
        <f>+F42+G42</f>
        <v/>
      </c>
      <c r="F42" s="5" t="n"/>
      <c r="G42" s="5" t="n"/>
      <c r="H42" s="5" t="n">
        <v>0</v>
      </c>
      <c r="I42" s="5">
        <f>+E42+H42</f>
        <v/>
      </c>
      <c r="J42" s="5">
        <f>0</f>
        <v/>
      </c>
      <c r="K42" s="5">
        <f>+J42-I42</f>
        <v/>
      </c>
    </row>
    <row r="43">
      <c r="C43" t="n">
        <v>650100</v>
      </c>
      <c r="D43" t="inlineStr">
        <is>
          <t>Asistencia sanitaria varia</t>
        </is>
      </c>
      <c r="E43" s="5">
        <f>SUM(E44:E71)</f>
        <v/>
      </c>
      <c r="F43" s="5">
        <f>SUM(F44:F71)</f>
        <v/>
      </c>
      <c r="G43" s="5">
        <f>SUM(G44:G71)</f>
        <v/>
      </c>
      <c r="H43" s="5">
        <f>SUM(H44:H71)</f>
        <v/>
      </c>
      <c r="I43" s="5">
        <f>SUM(I44:I71)</f>
        <v/>
      </c>
      <c r="J43" s="5">
        <f>65000</f>
        <v/>
      </c>
      <c r="K43" s="5">
        <f>SUM(K44:K71)</f>
        <v/>
      </c>
    </row>
    <row r="44">
      <c r="C44" t="n">
        <v>650110</v>
      </c>
      <c r="D44" t="inlineStr">
        <is>
          <t>Odontología-consultas-prótesis</t>
        </is>
      </c>
      <c r="E44" s="5">
        <f>+F44+G44</f>
        <v/>
      </c>
      <c r="F44" s="5" t="n"/>
      <c r="G44" s="5" t="n"/>
      <c r="H44" s="5" t="n">
        <v>0</v>
      </c>
      <c r="I44" s="5">
        <f>+E44+H44</f>
        <v/>
      </c>
      <c r="J44" s="5">
        <f>7000</f>
        <v/>
      </c>
      <c r="K44" s="5">
        <f>+J44-I44</f>
        <v/>
      </c>
    </row>
    <row r="45">
      <c r="C45" t="n">
        <v>650120</v>
      </c>
      <c r="D45" t="inlineStr">
        <is>
          <t>Oftalmología, consultas óptica</t>
        </is>
      </c>
      <c r="E45" s="5">
        <f>+F45+G45</f>
        <v/>
      </c>
      <c r="F45" s="5" t="n"/>
      <c r="G45" s="5" t="n"/>
      <c r="H45" s="5" t="n">
        <v>0</v>
      </c>
      <c r="I45" s="5">
        <f>+E45+H45</f>
        <v/>
      </c>
      <c r="J45" s="5">
        <f>0</f>
        <v/>
      </c>
      <c r="K45" s="5">
        <f>+J45-I45</f>
        <v/>
      </c>
    </row>
    <row r="46">
      <c r="C46" t="n">
        <v>650130</v>
      </c>
      <c r="D46" t="inlineStr">
        <is>
          <t>Prótesis y aparatos</t>
        </is>
      </c>
      <c r="E46" s="5">
        <f>+F46+G46</f>
        <v/>
      </c>
      <c r="F46" s="5" t="n"/>
      <c r="G46" s="5" t="n"/>
      <c r="H46" s="5" t="n">
        <v>0</v>
      </c>
      <c r="I46" s="5">
        <f>+E46+H46</f>
        <v/>
      </c>
      <c r="J46" s="5">
        <f>0</f>
        <v/>
      </c>
      <c r="K46" s="5">
        <f>+J46-I46</f>
        <v/>
      </c>
    </row>
    <row r="47">
      <c r="C47" t="n">
        <v>650140</v>
      </c>
      <c r="D47" t="inlineStr">
        <is>
          <t>Consultas, análisis, exploraciones</t>
        </is>
      </c>
      <c r="E47" s="5">
        <f>+F47+G47</f>
        <v/>
      </c>
      <c r="F47" s="5" t="n"/>
      <c r="G47" s="5" t="n"/>
      <c r="H47" s="5" t="n">
        <v>0</v>
      </c>
      <c r="I47" s="5">
        <f>+E47+H47</f>
        <v/>
      </c>
      <c r="J47" s="5">
        <f>58000</f>
        <v/>
      </c>
      <c r="K47" s="5">
        <f>+J47-I47</f>
        <v/>
      </c>
    </row>
    <row r="48">
      <c r="C48" t="n">
        <v>650160</v>
      </c>
      <c r="D48" t="inlineStr">
        <is>
          <t>Hospitalización o acompañamiento en la misma</t>
        </is>
      </c>
      <c r="E48" s="5">
        <f>+F48+G48</f>
        <v/>
      </c>
      <c r="F48" s="5" t="n"/>
      <c r="G48" s="5" t="n"/>
      <c r="H48" s="5" t="n">
        <v>0</v>
      </c>
      <c r="I48" s="5">
        <f>+E48+H48</f>
        <v/>
      </c>
      <c r="J48" s="5">
        <f>0</f>
        <v/>
      </c>
      <c r="K48" s="5">
        <f>+J48-I48</f>
        <v/>
      </c>
    </row>
    <row r="49">
      <c r="C49" t="n">
        <v>650300</v>
      </c>
      <c r="D49" t="inlineStr">
        <is>
          <t>Atenciones comunitarias</t>
        </is>
      </c>
      <c r="E49" s="5">
        <f>+F49+G49</f>
        <v/>
      </c>
      <c r="F49" s="5" t="n"/>
      <c r="G49" s="5" t="n"/>
      <c r="H49" s="5" t="n">
        <v>0</v>
      </c>
      <c r="I49" s="5">
        <f>+E49+H49</f>
        <v/>
      </c>
      <c r="J49" s="5">
        <f>20000</f>
        <v/>
      </c>
      <c r="K49" s="5">
        <f>+J49-I49</f>
        <v/>
      </c>
    </row>
    <row r="50">
      <c r="C50" t="n">
        <v>650310</v>
      </c>
      <c r="D50" t="inlineStr">
        <is>
          <t>Celebraciones comunitarias</t>
        </is>
      </c>
      <c r="E50" s="5">
        <f>+F50+G50</f>
        <v/>
      </c>
      <c r="F50" s="5" t="n"/>
      <c r="G50" s="5" t="n"/>
      <c r="H50" s="5" t="n">
        <v>0</v>
      </c>
      <c r="I50" s="5">
        <f>+E50+H50</f>
        <v/>
      </c>
      <c r="J50" s="5">
        <f>0</f>
        <v/>
      </c>
      <c r="K50" s="5">
        <f>+J50-I50</f>
        <v/>
      </c>
    </row>
    <row r="51">
      <c r="C51" t="n">
        <v>650320</v>
      </c>
      <c r="D51" t="inlineStr">
        <is>
          <t>Salidas comunitarias</t>
        </is>
      </c>
      <c r="E51" s="5">
        <f>+F51+G51</f>
        <v/>
      </c>
      <c r="F51" s="5" t="n"/>
      <c r="G51" s="5" t="n"/>
      <c r="H51" s="5" t="n">
        <v>0</v>
      </c>
      <c r="I51" s="5">
        <f>+E51+H51</f>
        <v/>
      </c>
      <c r="J51" s="5">
        <f>0</f>
        <v/>
      </c>
      <c r="K51" s="5">
        <f>+J51-I51</f>
        <v/>
      </c>
    </row>
    <row r="52">
      <c r="C52" t="n">
        <v>650330</v>
      </c>
      <c r="D52" t="inlineStr">
        <is>
          <t>Regalos comunitarios</t>
        </is>
      </c>
      <c r="E52" s="5">
        <f>+F52+G52</f>
        <v/>
      </c>
      <c r="F52" s="5" t="n"/>
      <c r="G52" s="5" t="n"/>
      <c r="H52" s="5" t="n">
        <v>0</v>
      </c>
      <c r="I52" s="5">
        <f>+E52+H52</f>
        <v/>
      </c>
      <c r="J52" s="5">
        <f>0</f>
        <v/>
      </c>
      <c r="K52" s="5">
        <f>+J52-I52</f>
        <v/>
      </c>
    </row>
    <row r="53">
      <c r="C53" t="n">
        <v>650400</v>
      </c>
      <c r="D53" t="inlineStr">
        <is>
          <t>Vacaciones y viajes</t>
        </is>
      </c>
      <c r="E53" s="5">
        <f>+F53+G53</f>
        <v/>
      </c>
      <c r="F53" s="5" t="n"/>
      <c r="G53" s="5" t="n"/>
      <c r="H53" s="5" t="n">
        <v>0</v>
      </c>
      <c r="I53" s="5">
        <f>+E53+H53</f>
        <v/>
      </c>
      <c r="J53" s="5">
        <f>230000</f>
        <v/>
      </c>
      <c r="K53" s="5">
        <f>+J53-I53</f>
        <v/>
      </c>
    </row>
    <row r="54">
      <c r="D54" t="inlineStr">
        <is>
          <t>Formación profesional</t>
        </is>
      </c>
      <c r="E54" s="5">
        <f>+F54+G54</f>
        <v/>
      </c>
      <c r="F54" s="5" t="n"/>
      <c r="G54" s="5" t="n"/>
      <c r="H54" s="5" t="n">
        <v>0</v>
      </c>
      <c r="I54" s="5">
        <f>+E54+H54</f>
        <v/>
      </c>
      <c r="J54" s="5">
        <f>240000</f>
        <v/>
      </c>
      <c r="K54" s="5">
        <f>+J54-I54</f>
        <v/>
      </c>
    </row>
    <row r="55">
      <c r="C55" t="n">
        <v>650540</v>
      </c>
      <c r="D55" t="inlineStr">
        <is>
          <t>Formación inicial</t>
        </is>
      </c>
      <c r="E55" s="5">
        <f>+F55+G55</f>
        <v/>
      </c>
      <c r="F55" s="5" t="n"/>
      <c r="G55" s="5" t="n"/>
      <c r="H55" s="5" t="n">
        <v>0</v>
      </c>
      <c r="I55" s="5">
        <f>+E55+H55</f>
        <v/>
      </c>
      <c r="J55" s="5">
        <f>60000</f>
        <v/>
      </c>
      <c r="K55" s="5">
        <f>+J55-I55</f>
        <v/>
      </c>
    </row>
    <row r="56">
      <c r="C56" t="n">
        <v>650530</v>
      </c>
      <c r="D56" t="inlineStr">
        <is>
          <t>Formación permanente</t>
        </is>
      </c>
      <c r="E56" s="5">
        <f>+F56+G56</f>
        <v/>
      </c>
      <c r="F56" s="5" t="n"/>
      <c r="G56" s="5" t="n"/>
      <c r="H56" s="5" t="n">
        <v>0</v>
      </c>
      <c r="I56" s="5">
        <f>+E56+H56</f>
        <v/>
      </c>
      <c r="J56" s="5">
        <f>15000</f>
        <v/>
      </c>
      <c r="K56" s="5">
        <f>+J56-I56</f>
        <v/>
      </c>
    </row>
    <row r="57">
      <c r="C57" t="n">
        <v>650560</v>
      </c>
      <c r="D57" t="inlineStr">
        <is>
          <t>Ejercicios y retiros</t>
        </is>
      </c>
      <c r="E57" s="5">
        <f>+F57+G57</f>
        <v/>
      </c>
      <c r="F57" s="5" t="n"/>
      <c r="G57" s="5" t="n"/>
      <c r="H57" s="5" t="n">
        <v>0</v>
      </c>
      <c r="I57" s="5">
        <f>+E57+H57</f>
        <v/>
      </c>
      <c r="J57" s="5">
        <f>40000</f>
        <v/>
      </c>
      <c r="K57" s="5">
        <f>+J57-I57</f>
        <v/>
      </c>
    </row>
    <row r="58">
      <c r="C58" t="n">
        <v>650570</v>
      </c>
      <c r="D58" t="inlineStr">
        <is>
          <t>Libros, suscripciones, periódicos</t>
        </is>
      </c>
      <c r="E58" s="5">
        <f>+F58+G58</f>
        <v/>
      </c>
      <c r="F58" s="5" t="n"/>
      <c r="G58" s="5" t="n"/>
      <c r="H58" s="5" t="n">
        <v>0</v>
      </c>
      <c r="I58" s="5">
        <f>+E58+H58</f>
        <v/>
      </c>
      <c r="J58" s="5">
        <f>8000</f>
        <v/>
      </c>
      <c r="K58" s="5">
        <f>+J58-I58</f>
        <v/>
      </c>
    </row>
    <row r="59">
      <c r="C59" t="n">
        <v>650510</v>
      </c>
      <c r="D59" t="inlineStr">
        <is>
          <t>Gastos hermanas de otras provincias</t>
        </is>
      </c>
      <c r="E59" s="5">
        <f>+F59+G59</f>
        <v/>
      </c>
      <c r="F59" s="5" t="n"/>
      <c r="G59" s="5" t="n"/>
      <c r="H59" s="5" t="n">
        <v>0</v>
      </c>
      <c r="I59" s="5">
        <f>+E59+H59</f>
        <v/>
      </c>
      <c r="J59" s="5">
        <f>0</f>
        <v/>
      </c>
      <c r="K59" s="5">
        <f>+J59-I59</f>
        <v/>
      </c>
    </row>
    <row r="60">
      <c r="D60" t="inlineStr">
        <is>
          <t>Asambleas y reuniones</t>
        </is>
      </c>
      <c r="E60" s="5">
        <f>+F60+G60</f>
        <v/>
      </c>
      <c r="F60" s="5" t="n"/>
      <c r="G60" s="5" t="n"/>
      <c r="H60" s="5" t="n">
        <v>0</v>
      </c>
      <c r="I60" s="5">
        <f>+E60+H60</f>
        <v/>
      </c>
      <c r="J60" s="5">
        <f>0</f>
        <v/>
      </c>
      <c r="K60" s="5">
        <f>+J60-I60</f>
        <v/>
      </c>
    </row>
    <row r="61">
      <c r="C61" t="n">
        <v>652000</v>
      </c>
      <c r="D61" t="inlineStr">
        <is>
          <t>Pastoral vocacional</t>
        </is>
      </c>
      <c r="E61" s="5">
        <f>+F61+G61</f>
        <v/>
      </c>
      <c r="F61" s="5" t="n"/>
      <c r="G61" s="5" t="n"/>
      <c r="H61" s="5" t="n">
        <v>0</v>
      </c>
      <c r="I61" s="5">
        <f>+E61+H61</f>
        <v/>
      </c>
      <c r="J61" s="5">
        <f>150000</f>
        <v/>
      </c>
      <c r="K61" s="5">
        <f>+J61-I61</f>
        <v/>
      </c>
    </row>
    <row r="62">
      <c r="C62" t="n">
        <v>653200</v>
      </c>
      <c r="D62" t="inlineStr">
        <is>
          <t>Comun. de bienes a delegación</t>
        </is>
      </c>
      <c r="E62" s="5">
        <f>+F62+G62</f>
        <v/>
      </c>
      <c r="F62" s="5" t="n"/>
      <c r="G62" s="5" t="n"/>
      <c r="H62" s="5" t="n">
        <v>0</v>
      </c>
      <c r="I62" s="5">
        <f>+E62+H62</f>
        <v/>
      </c>
      <c r="J62" s="5">
        <f>0</f>
        <v/>
      </c>
      <c r="K62" s="5">
        <f>+J62-I62</f>
        <v/>
      </c>
    </row>
    <row r="63">
      <c r="D63" t="inlineStr">
        <is>
          <t>Comunicación de bienes a Comunidades</t>
        </is>
      </c>
      <c r="E63" s="5">
        <f>+F63+G63</f>
        <v/>
      </c>
      <c r="F63" s="5" t="n"/>
      <c r="G63" s="5" t="n"/>
      <c r="H63" s="5" t="n">
        <v>0</v>
      </c>
      <c r="I63" s="5">
        <f>+E63+H63</f>
        <v/>
      </c>
      <c r="J63" s="5">
        <f>0</f>
        <v/>
      </c>
      <c r="K63" s="5">
        <f>+J63-I63</f>
        <v/>
      </c>
    </row>
    <row r="64">
      <c r="C64" t="n">
        <v>658000</v>
      </c>
      <c r="D64" t="inlineStr">
        <is>
          <t>Donativos y obras sociales</t>
        </is>
      </c>
      <c r="E64" s="5">
        <f>+F64+G64</f>
        <v/>
      </c>
      <c r="F64" s="5" t="n"/>
      <c r="G64" s="5" t="n"/>
      <c r="H64" s="5" t="n">
        <v>0</v>
      </c>
      <c r="I64" s="5">
        <f>+E64+H64</f>
        <v/>
      </c>
      <c r="J64" s="5">
        <f>5000</f>
        <v/>
      </c>
      <c r="K64" s="5">
        <f>+J64-I64</f>
        <v/>
      </c>
    </row>
    <row r="65">
      <c r="C65" t="n">
        <v>659010</v>
      </c>
      <c r="D65" t="inlineStr">
        <is>
          <t>Cuotas y afiliaciones</t>
        </is>
      </c>
      <c r="E65" s="5">
        <f>+F65+G65</f>
        <v/>
      </c>
      <c r="F65" s="5" t="n"/>
      <c r="G65" s="5" t="n"/>
      <c r="H65" s="5" t="n">
        <v>0</v>
      </c>
      <c r="I65" s="5">
        <f>+E65+H65</f>
        <v/>
      </c>
      <c r="J65" s="5">
        <f>0</f>
        <v/>
      </c>
      <c r="K65" s="5">
        <f>+J65-I65</f>
        <v/>
      </c>
    </row>
    <row r="66">
      <c r="C66" t="n">
        <v>659020</v>
      </c>
      <c r="D66" t="inlineStr">
        <is>
          <t>Culto (misas, flores, velas)</t>
        </is>
      </c>
      <c r="E66" s="5">
        <f>+F66+G66</f>
        <v/>
      </c>
      <c r="F66" s="5" t="n"/>
      <c r="G66" s="5" t="n"/>
      <c r="H66" s="5" t="n">
        <v>0</v>
      </c>
      <c r="I66" s="5">
        <f>+E66+H66</f>
        <v/>
      </c>
      <c r="J66" s="5">
        <f>10000</f>
        <v/>
      </c>
      <c r="K66" s="5">
        <f>+J66-I66</f>
        <v/>
      </c>
    </row>
    <row r="67">
      <c r="C67" t="n">
        <v>659034</v>
      </c>
      <c r="D67" t="inlineStr">
        <is>
          <t>Documentos, fotos y audiovisuales</t>
        </is>
      </c>
      <c r="E67" s="5">
        <f>+F67+G67</f>
        <v/>
      </c>
      <c r="F67" s="5" t="n"/>
      <c r="G67" s="5" t="n"/>
      <c r="H67" s="5" t="n">
        <v>0</v>
      </c>
      <c r="I67" s="5">
        <f>+E67+H67</f>
        <v/>
      </c>
      <c r="J67" s="5">
        <f>50000</f>
        <v/>
      </c>
      <c r="K67" s="5">
        <f>+J67-I67</f>
        <v/>
      </c>
    </row>
    <row r="68">
      <c r="C68" t="n">
        <v>659030</v>
      </c>
      <c r="D68" t="inlineStr">
        <is>
          <t>Servicios funerarios</t>
        </is>
      </c>
      <c r="E68" s="5">
        <f>+F68+G68</f>
        <v/>
      </c>
      <c r="F68" s="5" t="n"/>
      <c r="G68" s="5" t="n"/>
      <c r="H68" s="5" t="n">
        <v>0</v>
      </c>
      <c r="I68" s="5">
        <f>+E68+H68</f>
        <v/>
      </c>
      <c r="J68" s="5">
        <f>0</f>
        <v/>
      </c>
      <c r="K68" s="5">
        <f>+J68-I68</f>
        <v/>
      </c>
    </row>
    <row r="69">
      <c r="C69" t="n">
        <v>659060</v>
      </c>
      <c r="D69" t="inlineStr">
        <is>
          <t>Gastos personales de hermanas</t>
        </is>
      </c>
      <c r="E69" s="5">
        <f>+F69+G69</f>
        <v/>
      </c>
      <c r="F69" s="5" t="n"/>
      <c r="G69" s="5" t="n"/>
      <c r="H69" s="5" t="n">
        <v>0</v>
      </c>
      <c r="I69" s="5">
        <f>+E69+H69</f>
        <v/>
      </c>
      <c r="J69" s="5">
        <f>0</f>
        <v/>
      </c>
      <c r="K69" s="5">
        <f>+J69-I69</f>
        <v/>
      </c>
    </row>
    <row r="70">
      <c r="C70" t="n">
        <v>659090</v>
      </c>
      <c r="D70" t="inlineStr">
        <is>
          <t>Otros gastos</t>
        </is>
      </c>
      <c r="E70" s="5">
        <f>+F70+G70</f>
        <v/>
      </c>
      <c r="F70" s="5" t="n"/>
      <c r="G70" s="5" t="n"/>
      <c r="H70" s="5" t="n">
        <v>0</v>
      </c>
      <c r="I70" s="5">
        <f>+E70+H70</f>
        <v/>
      </c>
      <c r="J70" s="5">
        <f>15000</f>
        <v/>
      </c>
      <c r="K70" s="5">
        <f>+J70-I70</f>
        <v/>
      </c>
    </row>
    <row r="71">
      <c r="D71" t="inlineStr">
        <is>
          <t>Diferencias negativas de cambio</t>
        </is>
      </c>
      <c r="E71" s="5">
        <f>+F71+G71</f>
        <v/>
      </c>
      <c r="F71" s="5" t="n"/>
      <c r="G71" s="5" t="n"/>
      <c r="H71" s="5" t="n">
        <v>0</v>
      </c>
      <c r="I71" s="5">
        <f>+E71+H71</f>
        <v/>
      </c>
      <c r="J71" s="5">
        <f>0</f>
        <v/>
      </c>
      <c r="K71" s="5">
        <f>+J71-I71</f>
        <v/>
      </c>
    </row>
    <row r="72">
      <c r="D72" s="2" t="inlineStr">
        <is>
          <t>SUMA TOTAL GASTOS</t>
        </is>
      </c>
      <c r="E72" s="6">
        <f>SUM(E9:E71)-E12-E32-E43</f>
        <v/>
      </c>
      <c r="F72" s="6">
        <f>ROUND(SUM(F9:F71)-F12-F32-F43,2)</f>
        <v/>
      </c>
      <c r="G72" s="6">
        <f>ROUND(SUM(G9:G71)-G12-G32-G43,2)</f>
        <v/>
      </c>
      <c r="H72" s="6">
        <f>SUM(H9:H71)-H12-H32-H43</f>
        <v/>
      </c>
      <c r="I72" s="6">
        <f>SUM(I9:I71)-I12-I32-I43</f>
        <v/>
      </c>
      <c r="J72" s="6">
        <f>SUM(J9:J71)-J12-J32-J43</f>
        <v/>
      </c>
      <c r="K72" s="6">
        <f>SUM(K9:K71)-K12-K32-K43</f>
        <v/>
      </c>
    </row>
    <row r="73">
      <c r="C73" s="7" t="inlineStr">
        <is>
          <t>CUENTAS</t>
        </is>
      </c>
      <c r="D73" s="7" t="inlineStr">
        <is>
          <t>INGRESOS</t>
        </is>
      </c>
      <c r="E73" s="7" t="n"/>
      <c r="F73" s="7" t="n"/>
      <c r="G73" s="7" t="n"/>
      <c r="H73" s="7" t="inlineStr">
        <is>
          <t>INGRESOS MESES ANTERIORES</t>
        </is>
      </c>
      <c r="I73" s="7" t="inlineStr">
        <is>
          <t>SUMA DE INGRESO ACUMULADO</t>
        </is>
      </c>
      <c r="J73" s="7" t="inlineStr">
        <is>
          <t>PRESUPUESTO 2026</t>
        </is>
      </c>
      <c r="K73" s="7" t="n"/>
    </row>
    <row r="74">
      <c r="C74" t="n">
        <v>750000</v>
      </c>
      <c r="D74" t="inlineStr">
        <is>
          <t>Pensiones por jubilación</t>
        </is>
      </c>
      <c r="E74" s="5">
        <f>+F74+G74</f>
        <v/>
      </c>
      <c r="F74" s="5" t="n"/>
      <c r="G74" s="5" t="n"/>
      <c r="H74" s="5" t="n">
        <v>0</v>
      </c>
      <c r="I74" s="5">
        <f>+E74+H74</f>
        <v/>
      </c>
      <c r="J74" s="5">
        <f>0</f>
        <v/>
      </c>
      <c r="K74" s="5">
        <f>+J74-I74</f>
        <v/>
      </c>
    </row>
    <row r="75">
      <c r="C75" t="n">
        <v>750100</v>
      </c>
      <c r="D75" t="inlineStr">
        <is>
          <t>Prestación de servicios internos</t>
        </is>
      </c>
      <c r="E75" s="5">
        <f>+F75+G75</f>
        <v/>
      </c>
      <c r="F75" s="5" t="n"/>
      <c r="G75" s="5" t="n"/>
      <c r="H75" s="5" t="n">
        <v>0</v>
      </c>
      <c r="I75" s="5">
        <f>+E75+H75</f>
        <v/>
      </c>
      <c r="J75" s="5">
        <f>0</f>
        <v/>
      </c>
      <c r="K75" s="5">
        <f>+J75-I75</f>
        <v/>
      </c>
    </row>
    <row r="76">
      <c r="C76" t="n">
        <v>750200</v>
      </c>
      <c r="D76" t="inlineStr">
        <is>
          <t>Sueldos y salarios (Prestación de servicios externos)</t>
        </is>
      </c>
      <c r="E76" s="5">
        <f>+F76+G76</f>
        <v/>
      </c>
      <c r="F76" s="5" t="n"/>
      <c r="G76" s="5" t="n"/>
      <c r="H76" s="5" t="n">
        <v>0</v>
      </c>
      <c r="I76" s="5">
        <f>+E76+H76</f>
        <v/>
      </c>
      <c r="J76" s="5">
        <f>0</f>
        <v/>
      </c>
      <c r="K76" s="5">
        <f>+J76-I76</f>
        <v/>
      </c>
    </row>
    <row r="77">
      <c r="C77" t="n">
        <v>750600</v>
      </c>
      <c r="D77" t="inlineStr">
        <is>
          <t>Norma 9.2</t>
        </is>
      </c>
      <c r="E77" s="5">
        <f>+F77+G77</f>
        <v/>
      </c>
      <c r="F77" s="5" t="n"/>
      <c r="G77" s="5" t="n"/>
      <c r="H77" s="5" t="n">
        <v>0</v>
      </c>
      <c r="I77" s="5">
        <f>+E77+H77</f>
        <v/>
      </c>
      <c r="J77" s="5">
        <f>0</f>
        <v/>
      </c>
      <c r="K77" s="5">
        <f>+J77-I77</f>
        <v/>
      </c>
    </row>
    <row r="78">
      <c r="D78" t="inlineStr">
        <is>
          <t>Comunic. Bienes Gobierno General</t>
        </is>
      </c>
      <c r="E78" s="5">
        <f>+F78+G78</f>
        <v/>
      </c>
      <c r="F78" s="5" t="n"/>
      <c r="G78" s="5" t="n"/>
      <c r="H78" s="5" t="n">
        <v>0</v>
      </c>
      <c r="I78" s="5">
        <f>+E78+H78</f>
        <v/>
      </c>
      <c r="J78" s="5">
        <f>1500000</f>
        <v/>
      </c>
      <c r="K78" s="5">
        <f>+J78-I78</f>
        <v/>
      </c>
    </row>
    <row r="79">
      <c r="D79" t="inlineStr">
        <is>
          <t>Comunicación de bienes delegación</t>
        </is>
      </c>
      <c r="E79" s="5">
        <f>+F79+G79</f>
        <v/>
      </c>
      <c r="F79" s="5" t="n"/>
      <c r="G79" s="5" t="n"/>
      <c r="H79" s="5" t="n">
        <v>0</v>
      </c>
      <c r="I79" s="5">
        <f>+E79+H79</f>
        <v/>
      </c>
      <c r="J79" s="5">
        <f>0</f>
        <v/>
      </c>
      <c r="K79" s="5">
        <f>+J79-I79</f>
        <v/>
      </c>
    </row>
    <row r="80">
      <c r="D80" t="inlineStr">
        <is>
          <t>Comunicación de bienes de Comunidades</t>
        </is>
      </c>
      <c r="E80" s="5">
        <f>+F80+G80</f>
        <v/>
      </c>
      <c r="F80" s="5" t="n"/>
      <c r="G80" s="5" t="n"/>
      <c r="H80" s="5" t="n">
        <v>0</v>
      </c>
      <c r="I80" s="5">
        <f>+E80+H80</f>
        <v/>
      </c>
      <c r="J80" s="5">
        <f>0</f>
        <v/>
      </c>
      <c r="K80" s="5">
        <f>+J80-I80</f>
        <v/>
      </c>
    </row>
    <row r="81">
      <c r="C81" t="n">
        <v>758000</v>
      </c>
      <c r="D81" t="inlineStr">
        <is>
          <t>Donativos</t>
        </is>
      </c>
      <c r="E81" s="5">
        <f>+F81+G81</f>
        <v/>
      </c>
      <c r="F81" s="5" t="n"/>
      <c r="G81" s="5" t="n"/>
      <c r="H81" s="5" t="n">
        <v>0</v>
      </c>
      <c r="I81" s="5">
        <f>+E81+H81</f>
        <v/>
      </c>
      <c r="J81" s="5">
        <f>35000</f>
        <v/>
      </c>
      <c r="K81" s="5">
        <f>+J81-I81</f>
        <v/>
      </c>
    </row>
    <row r="82">
      <c r="D82" t="inlineStr">
        <is>
          <t>Donativos recibidos - FBM</t>
        </is>
      </c>
      <c r="E82" s="5">
        <f>+F82+G82</f>
        <v/>
      </c>
      <c r="F82" s="5" t="n"/>
      <c r="G82" s="5" t="n"/>
      <c r="H82" s="5" t="n">
        <v>0</v>
      </c>
      <c r="I82" s="5">
        <f>+E82+H82</f>
        <v/>
      </c>
      <c r="J82" s="5">
        <f>700000</f>
        <v/>
      </c>
      <c r="K82" s="5">
        <f>+J82-I82</f>
        <v/>
      </c>
    </row>
    <row r="83">
      <c r="C83" t="n">
        <v>759100</v>
      </c>
      <c r="D83" t="inlineStr">
        <is>
          <t>Otros ingresos</t>
        </is>
      </c>
      <c r="E83" s="5">
        <f>+F83+G83</f>
        <v/>
      </c>
      <c r="F83" s="5" t="n"/>
      <c r="G83" s="5" t="n"/>
      <c r="H83" s="5" t="n">
        <v>0</v>
      </c>
      <c r="I83" s="5">
        <f>+E83+H83</f>
        <v/>
      </c>
      <c r="J83" s="5">
        <f>0</f>
        <v/>
      </c>
      <c r="K83" s="5">
        <f>+J83-I83</f>
        <v/>
      </c>
    </row>
    <row r="84">
      <c r="C84" t="n">
        <v>769000</v>
      </c>
      <c r="D84" t="inlineStr">
        <is>
          <t>Ingresos financieros</t>
        </is>
      </c>
      <c r="E84" s="5">
        <f>+F84+G84</f>
        <v/>
      </c>
      <c r="F84" s="5" t="n"/>
      <c r="G84" s="5" t="n"/>
      <c r="H84" s="5" t="n">
        <v>0</v>
      </c>
      <c r="I84" s="5">
        <f>+E84+H84</f>
        <v/>
      </c>
      <c r="J84" s="5">
        <f>1000</f>
        <v/>
      </c>
      <c r="K84" s="5">
        <f>+J84-I84</f>
        <v/>
      </c>
    </row>
    <row r="85">
      <c r="D85" t="inlineStr">
        <is>
          <t>Diferencias positivas de cambio</t>
        </is>
      </c>
      <c r="E85" s="5">
        <f>+F85+G85</f>
        <v/>
      </c>
      <c r="F85" s="5" t="n"/>
      <c r="G85" s="5" t="n"/>
      <c r="H85" s="5" t="n">
        <v>0</v>
      </c>
      <c r="I85" s="5">
        <f>+E85+H85</f>
        <v/>
      </c>
      <c r="J85" s="5">
        <f>0</f>
        <v/>
      </c>
      <c r="K85" s="5">
        <f>+J85-I85</f>
        <v/>
      </c>
    </row>
    <row r="86">
      <c r="D86" s="2" t="inlineStr">
        <is>
          <t>SUMA TOTAL INGRESOS</t>
        </is>
      </c>
      <c r="E86" s="6">
        <f>SUM(E74:E85)</f>
        <v/>
      </c>
      <c r="F86" s="6">
        <f>ROUND(SUM(F74:F85),2)</f>
        <v/>
      </c>
      <c r="G86" s="6">
        <f>ROUND(SUM(G74:G85),2)</f>
        <v/>
      </c>
      <c r="H86" s="6">
        <f>SUM(H74:H85)</f>
        <v/>
      </c>
      <c r="I86" s="6">
        <f>SUM(I74:I85)</f>
        <v/>
      </c>
      <c r="J86" s="6">
        <f>SUM(J74:J85)</f>
        <v/>
      </c>
      <c r="K86" s="6">
        <f>SUM(K74:K85)</f>
        <v/>
      </c>
    </row>
    <row r="87">
      <c r="F87" s="2" t="inlineStr">
        <is>
          <t>TRASPASO INTERNO</t>
        </is>
      </c>
    </row>
    <row r="88">
      <c r="D88" t="inlineStr">
        <is>
          <t>Disposición de efectivo de BANCO para gastos de CAJA</t>
        </is>
      </c>
      <c r="F88" s="5" t="n">
        <v>0</v>
      </c>
    </row>
    <row r="89">
      <c r="C89" t="inlineStr">
        <is>
          <t>Disposición de efectivo de CAJA para gastos de BANCO</t>
        </is>
      </c>
      <c r="F89" s="5" t="n">
        <v>0</v>
      </c>
    </row>
    <row r="90">
      <c r="C90" s="7" t="inlineStr">
        <is>
          <t>CUENTAS</t>
        </is>
      </c>
      <c r="D90" s="7" t="inlineStr">
        <is>
          <t>INVERSIONES</t>
        </is>
      </c>
      <c r="E90" s="7" t="n"/>
      <c r="F90" s="7" t="n"/>
      <c r="G90" s="7" t="n"/>
      <c r="H90" s="7" t="inlineStr">
        <is>
          <t>INVERSIONES MESES ANTER.</t>
        </is>
      </c>
      <c r="I90" s="7" t="inlineStr">
        <is>
          <t>SUMA DE GASTO ACUMULADO</t>
        </is>
      </c>
      <c r="J90" s="7" t="inlineStr">
        <is>
          <t>PRESUPUESTO 2026</t>
        </is>
      </c>
      <c r="K90" s="7" t="n"/>
    </row>
    <row r="91">
      <c r="C91" t="n">
        <v>206000</v>
      </c>
      <c r="D91" t="inlineStr">
        <is>
          <t>Aplicaciones Informáticas</t>
        </is>
      </c>
      <c r="E91" s="5">
        <f>+F91+G91</f>
        <v/>
      </c>
      <c r="F91" s="5" t="n"/>
      <c r="G91" s="5" t="n"/>
      <c r="H91" s="5" t="n">
        <v>0</v>
      </c>
      <c r="I91" s="5">
        <f>+E91+H91</f>
        <v/>
      </c>
      <c r="J91" s="5">
        <f>0</f>
        <v/>
      </c>
      <c r="K91" s="5">
        <f>+J91-I91</f>
        <v/>
      </c>
    </row>
    <row r="92">
      <c r="C92" t="n">
        <v>211000</v>
      </c>
      <c r="D92" t="inlineStr">
        <is>
          <t>Edificios y otras construcciones</t>
        </is>
      </c>
      <c r="E92" s="5">
        <f>+F92+G92</f>
        <v/>
      </c>
      <c r="F92" s="5" t="n"/>
      <c r="G92" s="5" t="n"/>
      <c r="H92" s="5" t="n">
        <v>0</v>
      </c>
      <c r="I92" s="5">
        <f>+E92+H92</f>
        <v/>
      </c>
      <c r="J92" s="5">
        <f>80000</f>
        <v/>
      </c>
      <c r="K92" s="5">
        <f>+J92-I92</f>
        <v/>
      </c>
    </row>
    <row r="93">
      <c r="C93" t="n">
        <v>213000</v>
      </c>
      <c r="D93" t="inlineStr">
        <is>
          <t>Maquinaria</t>
        </is>
      </c>
      <c r="E93" s="5">
        <f>+F93+G93</f>
        <v/>
      </c>
      <c r="F93" s="5" t="n"/>
      <c r="G93" s="5" t="n"/>
      <c r="H93" s="5" t="n">
        <v>0</v>
      </c>
      <c r="I93" s="5">
        <f>+E93+H93</f>
        <v/>
      </c>
      <c r="J93" s="5">
        <f>0</f>
        <v/>
      </c>
      <c r="K93" s="5">
        <f>+J93-I93</f>
        <v/>
      </c>
    </row>
    <row r="94">
      <c r="C94" t="n">
        <v>214000</v>
      </c>
      <c r="D94" t="inlineStr">
        <is>
          <t>Utillaje</t>
        </is>
      </c>
      <c r="E94" s="5">
        <f>+F94+G94</f>
        <v/>
      </c>
      <c r="F94" s="5" t="n"/>
      <c r="G94" s="5" t="n"/>
      <c r="H94" s="5" t="n">
        <v>0</v>
      </c>
      <c r="I94" s="5">
        <f>+E94+H94</f>
        <v/>
      </c>
      <c r="J94" s="5">
        <f>0</f>
        <v/>
      </c>
      <c r="K94" s="5">
        <f>+J94-I94</f>
        <v/>
      </c>
    </row>
    <row r="95">
      <c r="C95" t="n">
        <v>215000</v>
      </c>
      <c r="D95" t="inlineStr">
        <is>
          <t>Instalaciones</t>
        </is>
      </c>
      <c r="E95" s="5">
        <f>+F95+G95</f>
        <v/>
      </c>
      <c r="F95" s="5" t="n"/>
      <c r="G95" s="5" t="n"/>
      <c r="H95" s="5" t="n">
        <v>0</v>
      </c>
      <c r="I95" s="5">
        <f>+E95+H95</f>
        <v/>
      </c>
      <c r="J95" s="5">
        <f>0</f>
        <v/>
      </c>
      <c r="K95" s="5">
        <f>+J95-I95</f>
        <v/>
      </c>
    </row>
    <row r="96">
      <c r="C96" t="n">
        <v>216000</v>
      </c>
      <c r="D96" t="inlineStr">
        <is>
          <t>Mobiliario y Enseres</t>
        </is>
      </c>
      <c r="E96" s="5">
        <f>+F96+G96</f>
        <v/>
      </c>
      <c r="F96" s="5" t="n"/>
      <c r="G96" s="5" t="n"/>
      <c r="H96" s="5" t="n">
        <v>0</v>
      </c>
      <c r="I96" s="5">
        <f>+E96+H96</f>
        <v/>
      </c>
      <c r="J96" s="5">
        <f>55000</f>
        <v/>
      </c>
      <c r="K96" s="5">
        <f>+J96-I96</f>
        <v/>
      </c>
    </row>
    <row r="97">
      <c r="C97" t="n">
        <v>217000</v>
      </c>
      <c r="D97" t="inlineStr">
        <is>
          <t>Equipos Informáticos</t>
        </is>
      </c>
      <c r="E97" s="5">
        <f>+F97+G97</f>
        <v/>
      </c>
      <c r="F97" s="5" t="n"/>
      <c r="G97" s="5" t="n"/>
      <c r="H97" s="5" t="n">
        <v>0</v>
      </c>
      <c r="I97" s="5">
        <f>+E97+H97</f>
        <v/>
      </c>
      <c r="J97" s="5">
        <f>0</f>
        <v/>
      </c>
      <c r="K97" s="5">
        <f>+J97-I97</f>
        <v/>
      </c>
    </row>
    <row r="98">
      <c r="D98" s="2" t="inlineStr">
        <is>
          <t>SUMA TOTAL INVERSIONES</t>
        </is>
      </c>
      <c r="E98" s="6">
        <f>SUM(E91:E97)</f>
        <v/>
      </c>
      <c r="F98" s="6">
        <f>ROUND(SUM(F91:F97),2)</f>
        <v/>
      </c>
      <c r="G98" s="6">
        <f>ROUND(SUM(G91:G97),2)</f>
        <v/>
      </c>
      <c r="H98" s="6">
        <f>SUM(H91:H97)</f>
        <v/>
      </c>
      <c r="I98" s="6">
        <f>SUM(I91:I97)</f>
        <v/>
      </c>
      <c r="J98" s="6">
        <f>SUM(J91:J97)</f>
        <v/>
      </c>
      <c r="K98" s="6">
        <f>SUM(K91:K97)</f>
        <v/>
      </c>
    </row>
    <row r="100">
      <c r="F100" s="2" t="inlineStr">
        <is>
          <t>TESORERIA</t>
        </is>
      </c>
      <c r="H100" s="2" t="inlineStr">
        <is>
          <t>FECHA</t>
        </is>
      </c>
      <c r="I100" s="2" t="inlineStr">
        <is>
          <t>SALDO ANTER.</t>
        </is>
      </c>
      <c r="J100" s="2" t="inlineStr">
        <is>
          <t>SALDO ACTUAL</t>
        </is>
      </c>
    </row>
    <row r="101">
      <c r="G101" t="inlineStr">
        <is>
          <t>CAJA</t>
        </is>
      </c>
      <c r="H101" s="3">
        <f>+G4</f>
        <v/>
      </c>
      <c r="J101" s="5">
        <f>+I101+G86-G72-G98</f>
        <v/>
      </c>
    </row>
  </sheetData>
  <mergeCells count="12">
    <mergeCell ref="F87:G87"/>
    <mergeCell ref="G4:H5"/>
    <mergeCell ref="C89:E89"/>
    <mergeCell ref="F100:G100"/>
    <mergeCell ref="F4:F5"/>
    <mergeCell ref="H87:K87"/>
    <mergeCell ref="C8:E8"/>
    <mergeCell ref="F89:G89"/>
    <mergeCell ref="C4:E5"/>
    <mergeCell ref="G101"/>
    <mergeCell ref="D88:E88"/>
    <mergeCell ref="F88:G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2026-08-18T08:17:47Z</dcterms:created>
  <dcterms:modified xmlns:dcterms="http://purl.org/dc/terms/" xmlns:xsi="http://www.w3.org/2001/XMLSchema-instance" xsi:type="dcterms:W3CDTF">2026-08-18T08:17:47Z</dcterms:modified>
</cp:coreProperties>
</file>