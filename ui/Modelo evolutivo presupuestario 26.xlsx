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I25" i="1" s="1"/>
  <c r="K25" i="1" s="1"/>
  <c r="E26" i="1"/>
  <c r="E14" i="1"/>
  <c r="E15" i="1"/>
  <c r="E16" i="1"/>
  <c r="E17" i="1"/>
  <c r="E18" i="1"/>
  <c r="I18" i="1" s="1"/>
  <c r="K18" i="1" s="1"/>
  <c r="E19" i="1"/>
  <c r="I19" i="1" s="1"/>
  <c r="K19" i="1" s="1"/>
  <c r="E20" i="1"/>
  <c r="I20" i="1" s="1"/>
  <c r="K20" i="1" s="1"/>
  <c r="E21" i="1"/>
  <c r="I21" i="1" s="1"/>
  <c r="K21" i="1" s="1"/>
  <c r="E13" i="1"/>
  <c r="E10" i="1"/>
  <c r="E11" i="1"/>
  <c r="E9" i="1"/>
  <c r="H96" i="1"/>
  <c r="E96" i="1"/>
  <c r="D96" i="1"/>
  <c r="J93" i="1"/>
  <c r="I93" i="1"/>
  <c r="H91" i="1"/>
  <c r="J88" i="1"/>
  <c r="H88" i="1"/>
  <c r="G88" i="1"/>
  <c r="F88" i="1"/>
  <c r="E87" i="1"/>
  <c r="I87" i="1" s="1"/>
  <c r="K87" i="1" s="1"/>
  <c r="E86" i="1"/>
  <c r="I86" i="1" s="1"/>
  <c r="K86" i="1" s="1"/>
  <c r="J85" i="1"/>
  <c r="E85" i="1"/>
  <c r="I85" i="1" s="1"/>
  <c r="J84" i="1"/>
  <c r="E84" i="1"/>
  <c r="I84" i="1" s="1"/>
  <c r="K84" i="1" s="1"/>
  <c r="E83" i="1"/>
  <c r="I83" i="1" s="1"/>
  <c r="K83" i="1" s="1"/>
  <c r="E82" i="1"/>
  <c r="I82" i="1" s="1"/>
  <c r="K82" i="1" s="1"/>
  <c r="J81" i="1"/>
  <c r="E81" i="1"/>
  <c r="I81" i="1" s="1"/>
  <c r="K79" i="1"/>
  <c r="J79" i="1"/>
  <c r="I79" i="1"/>
  <c r="G79" i="1"/>
  <c r="F79" i="1"/>
  <c r="E79" i="1"/>
  <c r="C79" i="1"/>
  <c r="J75" i="1"/>
  <c r="H75" i="1"/>
  <c r="G75" i="1"/>
  <c r="F75" i="1"/>
  <c r="J74" i="1"/>
  <c r="K74" i="1" s="1"/>
  <c r="E74" i="1"/>
  <c r="I74" i="1" s="1"/>
  <c r="K73" i="1"/>
  <c r="I73" i="1"/>
  <c r="E72" i="1"/>
  <c r="I72" i="1" s="1"/>
  <c r="K72" i="1" s="1"/>
  <c r="E71" i="1"/>
  <c r="I71" i="1" s="1"/>
  <c r="K71" i="1" s="1"/>
  <c r="K70" i="1"/>
  <c r="I70" i="1"/>
  <c r="E70" i="1"/>
  <c r="E69" i="1"/>
  <c r="I69" i="1" s="1"/>
  <c r="K69" i="1" s="1"/>
  <c r="E68" i="1"/>
  <c r="I68" i="1" s="1"/>
  <c r="K68" i="1" s="1"/>
  <c r="K67" i="1"/>
  <c r="I67" i="1"/>
  <c r="J66" i="1"/>
  <c r="E66" i="1"/>
  <c r="I66" i="1" s="1"/>
  <c r="I65" i="1"/>
  <c r="K65" i="1" s="1"/>
  <c r="E65" i="1"/>
  <c r="J64" i="1"/>
  <c r="E64" i="1"/>
  <c r="I64" i="1" s="1"/>
  <c r="K62" i="1"/>
  <c r="J62" i="1"/>
  <c r="G62" i="1"/>
  <c r="F62" i="1"/>
  <c r="E62" i="1"/>
  <c r="E60" i="1"/>
  <c r="I60" i="1" s="1"/>
  <c r="K60" i="1" s="1"/>
  <c r="E59" i="1"/>
  <c r="I59" i="1" s="1"/>
  <c r="K59" i="1" s="1"/>
  <c r="E58" i="1"/>
  <c r="I58" i="1" s="1"/>
  <c r="K58" i="1" s="1"/>
  <c r="E57" i="1"/>
  <c r="I57" i="1" s="1"/>
  <c r="K57" i="1" s="1"/>
  <c r="J56" i="1"/>
  <c r="K56" i="1" s="1"/>
  <c r="I56" i="1"/>
  <c r="E56" i="1"/>
  <c r="E55" i="1"/>
  <c r="I55" i="1" s="1"/>
  <c r="K55" i="1" s="1"/>
  <c r="E54" i="1"/>
  <c r="I54" i="1" s="1"/>
  <c r="K54" i="1" s="1"/>
  <c r="J53" i="1"/>
  <c r="E53" i="1"/>
  <c r="I53" i="1" s="1"/>
  <c r="K53" i="1" s="1"/>
  <c r="E52" i="1"/>
  <c r="I52" i="1" s="1"/>
  <c r="K52" i="1" s="1"/>
  <c r="I51" i="1"/>
  <c r="K51" i="1" s="1"/>
  <c r="E51" i="1"/>
  <c r="E50" i="1"/>
  <c r="I50" i="1" s="1"/>
  <c r="K50" i="1" s="1"/>
  <c r="E49" i="1"/>
  <c r="I49" i="1" s="1"/>
  <c r="K49" i="1" s="1"/>
  <c r="K48" i="1"/>
  <c r="I48" i="1"/>
  <c r="E48" i="1"/>
  <c r="E47" i="1"/>
  <c r="I47" i="1" s="1"/>
  <c r="K47" i="1" s="1"/>
  <c r="E46" i="1"/>
  <c r="I46" i="1" s="1"/>
  <c r="K46" i="1" s="1"/>
  <c r="E45" i="1"/>
  <c r="I45" i="1" s="1"/>
  <c r="K45" i="1" s="1"/>
  <c r="J44" i="1"/>
  <c r="E44" i="1"/>
  <c r="I44" i="1" s="1"/>
  <c r="J43" i="1"/>
  <c r="E43" i="1"/>
  <c r="I43" i="1" s="1"/>
  <c r="K43" i="1" s="1"/>
  <c r="J42" i="1"/>
  <c r="E42" i="1"/>
  <c r="I42" i="1" s="1"/>
  <c r="E41" i="1"/>
  <c r="I41" i="1" s="1"/>
  <c r="K41" i="1" s="1"/>
  <c r="E40" i="1"/>
  <c r="I40" i="1" s="1"/>
  <c r="K40" i="1" s="1"/>
  <c r="E39" i="1"/>
  <c r="I39" i="1" s="1"/>
  <c r="K39" i="1" s="1"/>
  <c r="E38" i="1"/>
  <c r="I38" i="1" s="1"/>
  <c r="K38" i="1" s="1"/>
  <c r="E37" i="1"/>
  <c r="I37" i="1" s="1"/>
  <c r="K37" i="1" s="1"/>
  <c r="I36" i="1"/>
  <c r="I35" i="1" s="1"/>
  <c r="E36" i="1"/>
  <c r="H35" i="1"/>
  <c r="G35" i="1"/>
  <c r="F35" i="1"/>
  <c r="E34" i="1" s="1"/>
  <c r="I34" i="1" s="1"/>
  <c r="K34" i="1" s="1"/>
  <c r="E33" i="1"/>
  <c r="I33" i="1" s="1"/>
  <c r="K33" i="1" s="1"/>
  <c r="E32" i="1"/>
  <c r="I32" i="1" s="1"/>
  <c r="K32" i="1" s="1"/>
  <c r="E31" i="1"/>
  <c r="I31" i="1" s="1"/>
  <c r="K31" i="1" s="1"/>
  <c r="E30" i="1"/>
  <c r="I30" i="1" s="1"/>
  <c r="K30" i="1" s="1"/>
  <c r="J29" i="1"/>
  <c r="K29" i="1" s="1"/>
  <c r="I29" i="1"/>
  <c r="E29" i="1"/>
  <c r="J28" i="1"/>
  <c r="E28" i="1"/>
  <c r="H27" i="1"/>
  <c r="G27" i="1"/>
  <c r="F27" i="1"/>
  <c r="I26" i="1"/>
  <c r="K26" i="1" s="1"/>
  <c r="I24" i="1"/>
  <c r="K24" i="1" s="1"/>
  <c r="I23" i="1"/>
  <c r="K23" i="1" s="1"/>
  <c r="I22" i="1"/>
  <c r="K22" i="1" s="1"/>
  <c r="I17" i="1"/>
  <c r="K17" i="1" s="1"/>
  <c r="J16" i="1"/>
  <c r="I16" i="1"/>
  <c r="J15" i="1"/>
  <c r="K15" i="1" s="1"/>
  <c r="I15" i="1"/>
  <c r="J14" i="1"/>
  <c r="E12" i="1"/>
  <c r="J13" i="1"/>
  <c r="I13" i="1"/>
  <c r="J12" i="1"/>
  <c r="J61" i="1" s="1"/>
  <c r="H12" i="1"/>
  <c r="H61" i="1" s="1"/>
  <c r="G12" i="1"/>
  <c r="G61" i="1" s="1"/>
  <c r="F12" i="1"/>
  <c r="F61" i="1" s="1"/>
  <c r="J11" i="1"/>
  <c r="I11" i="1"/>
  <c r="J10" i="1"/>
  <c r="I10" i="1"/>
  <c r="J9" i="1"/>
  <c r="I9" i="1"/>
  <c r="C4" i="1"/>
  <c r="K44" i="1" l="1"/>
  <c r="E27" i="1"/>
  <c r="K9" i="1"/>
  <c r="K13" i="1"/>
  <c r="K11" i="1"/>
  <c r="K16" i="1"/>
  <c r="K66" i="1"/>
  <c r="K42" i="1"/>
  <c r="K85" i="1"/>
  <c r="E61" i="1"/>
  <c r="K81" i="1"/>
  <c r="K88" i="1" s="1"/>
  <c r="I75" i="1"/>
  <c r="K10" i="1"/>
  <c r="I88" i="1"/>
  <c r="K64" i="1"/>
  <c r="K75" i="1" s="1"/>
  <c r="K36" i="1"/>
  <c r="K35" i="1" s="1"/>
  <c r="I28" i="1"/>
  <c r="I27" i="1" s="1"/>
  <c r="E75" i="1"/>
  <c r="I14" i="1"/>
  <c r="I12" i="1" s="1"/>
  <c r="E88" i="1"/>
  <c r="E35" i="1"/>
  <c r="K14" i="1" l="1"/>
  <c r="K12" i="1" s="1"/>
  <c r="K28" i="1"/>
  <c r="K27" i="1" s="1"/>
  <c r="I61" i="1"/>
  <c r="K61" i="1" l="1"/>
</calcChain>
</file>

<file path=xl/sharedStrings.xml><?xml version="1.0" encoding="utf-8"?>
<sst xmlns="http://schemas.openxmlformats.org/spreadsheetml/2006/main" count="166" uniqueCount="161">
  <si>
    <t>FECHA:</t>
  </si>
  <si>
    <t xml:space="preserve">CUENTAS   </t>
  </si>
  <si>
    <t>GASTOS</t>
  </si>
  <si>
    <t>MES CORRIENTE</t>
  </si>
  <si>
    <t>BANCO</t>
  </si>
  <si>
    <t>CAJA</t>
  </si>
  <si>
    <t>GASTO MESES ANTERIORES</t>
  </si>
  <si>
    <t>SUMA DE GASTO ACUMULADO</t>
  </si>
  <si>
    <t>PRESUPUESTO 2026</t>
  </si>
  <si>
    <t>DIFERENCIA</t>
  </si>
  <si>
    <t>SALDO A 31/12/2025</t>
  </si>
  <si>
    <t>600,00</t>
  </si>
  <si>
    <t>Compra de farmacia y material sanitario</t>
  </si>
  <si>
    <t>602,10</t>
  </si>
  <si>
    <t>Compra de combustibles</t>
  </si>
  <si>
    <t>602.30</t>
  </si>
  <si>
    <t>C. de mat. reposición y conserv. - reparaciones</t>
  </si>
  <si>
    <t>602400</t>
  </si>
  <si>
    <t>C. de mat. de limp., lavandería, peluquería y aseo</t>
  </si>
  <si>
    <t>602.40</t>
  </si>
  <si>
    <t>Material de limpieza</t>
  </si>
  <si>
    <t>602.401</t>
  </si>
  <si>
    <t>Material de lavandería</t>
  </si>
  <si>
    <t>602.402</t>
  </si>
  <si>
    <t>Material de aseo personal</t>
  </si>
  <si>
    <t>602.403</t>
  </si>
  <si>
    <t>Material de peluquería</t>
  </si>
  <si>
    <t>602.50</t>
  </si>
  <si>
    <t>Compra de mat. de oficina, impresos e informatica</t>
  </si>
  <si>
    <t>602,90</t>
  </si>
  <si>
    <t>Otros aprovis. + duración</t>
  </si>
  <si>
    <t>603.00</t>
  </si>
  <si>
    <t>Compra de comestibles y bebidas</t>
  </si>
  <si>
    <t>605.00</t>
  </si>
  <si>
    <t>C. de pequeño utillaje, vajillas y objetos de adorno</t>
  </si>
  <si>
    <t>606.00</t>
  </si>
  <si>
    <t>C. de ropería personal, hogar y objetos personales</t>
  </si>
  <si>
    <t>622,00</t>
  </si>
  <si>
    <t>Reparaciones y conservación</t>
  </si>
  <si>
    <t>Según Juan</t>
  </si>
  <si>
    <t>623.00</t>
  </si>
  <si>
    <t>Servicios profesionales indep.</t>
  </si>
  <si>
    <t>625.00</t>
  </si>
  <si>
    <t>Primas de seguros</t>
  </si>
  <si>
    <t>626.00</t>
  </si>
  <si>
    <t>Tasas bancarias</t>
  </si>
  <si>
    <t>627.00</t>
  </si>
  <si>
    <t>Publicidad, relac. públicas, obsequio pers. exterior</t>
  </si>
  <si>
    <t>628.00</t>
  </si>
  <si>
    <t>Suministros</t>
  </si>
  <si>
    <t>628.01</t>
  </si>
  <si>
    <t>Suministro gas ciudad</t>
  </si>
  <si>
    <t>628.02</t>
  </si>
  <si>
    <t>Suministro agua</t>
  </si>
  <si>
    <t>628.03</t>
  </si>
  <si>
    <t>Suministro electricidad</t>
  </si>
  <si>
    <t>629.01</t>
  </si>
  <si>
    <t>Viajes</t>
  </si>
  <si>
    <t>629.2</t>
  </si>
  <si>
    <t>Teléfonos, internet, mensajerías y correos</t>
  </si>
  <si>
    <t>630.0</t>
  </si>
  <si>
    <t>Impuestos y tasas, seguro  Moto</t>
  </si>
  <si>
    <t>642.00</t>
  </si>
  <si>
    <t xml:space="preserve">Seguridad Social </t>
  </si>
  <si>
    <t>650.10</t>
  </si>
  <si>
    <t>Asistencia sanitaria varia</t>
  </si>
  <si>
    <t>650.11</t>
  </si>
  <si>
    <t>Odontología-consultas-prótesis</t>
  </si>
  <si>
    <t>650.12</t>
  </si>
  <si>
    <t>Oftalmología, consultas óptica</t>
  </si>
  <si>
    <t>650.13</t>
  </si>
  <si>
    <t>Prótesis y aparatos</t>
  </si>
  <si>
    <t>650.14</t>
  </si>
  <si>
    <t>Consultas, análisis, exploraciones</t>
  </si>
  <si>
    <t>650.16</t>
  </si>
  <si>
    <t>Hospitalización o acompañamiento en la misma</t>
  </si>
  <si>
    <t>650,30</t>
  </si>
  <si>
    <t>Atenciones comunitarias</t>
  </si>
  <si>
    <t>650.31</t>
  </si>
  <si>
    <t>Celebraciones comunitarias</t>
  </si>
  <si>
    <t xml:space="preserve">650.32 </t>
  </si>
  <si>
    <t>Salidas comunitarias</t>
  </si>
  <si>
    <t xml:space="preserve">650.33 </t>
  </si>
  <si>
    <t>Regalos comunitarios</t>
  </si>
  <si>
    <t>650.40</t>
  </si>
  <si>
    <t>Vacaciones y viajes</t>
  </si>
  <si>
    <t>650.50</t>
  </si>
  <si>
    <t>Formacion profesional</t>
  </si>
  <si>
    <t>650.51</t>
  </si>
  <si>
    <t>Formacion inicial</t>
  </si>
  <si>
    <t>650.53</t>
  </si>
  <si>
    <t>Formación permanente</t>
  </si>
  <si>
    <t>650,56</t>
  </si>
  <si>
    <t>Ejercicios y retiros</t>
  </si>
  <si>
    <t>650,57</t>
  </si>
  <si>
    <t>Libros, suscripciones, periódicos</t>
  </si>
  <si>
    <t>651</t>
  </si>
  <si>
    <t>Asambleas y reuniones</t>
  </si>
  <si>
    <t>652,00</t>
  </si>
  <si>
    <t>Pastoral vocacional</t>
  </si>
  <si>
    <t>653.20</t>
  </si>
  <si>
    <t>Comun. de bienes a delegacion</t>
  </si>
  <si>
    <t>653.21</t>
  </si>
  <si>
    <t>Comunicación de bienes a Comunidades</t>
  </si>
  <si>
    <t>658,00</t>
  </si>
  <si>
    <t>Donativos y obras sociales</t>
  </si>
  <si>
    <t>659.01</t>
  </si>
  <si>
    <t>Cuotas y afiliaciones</t>
  </si>
  <si>
    <t>659.02</t>
  </si>
  <si>
    <t>Culto (misas, flores, velas)</t>
  </si>
  <si>
    <t>659.03</t>
  </si>
  <si>
    <t>Documentos, fotos y audiovisuales</t>
  </si>
  <si>
    <t>659.09</t>
  </si>
  <si>
    <t xml:space="preserve">Otros gastos  </t>
  </si>
  <si>
    <t>Diferencias negativas de cambio</t>
  </si>
  <si>
    <t>SUMA TOTAL GASTOS</t>
  </si>
  <si>
    <t>INGRESOS</t>
  </si>
  <si>
    <t>INGRESOS MESES ANTERIORES</t>
  </si>
  <si>
    <t>SUMA DE INGRESO ACUMULADO</t>
  </si>
  <si>
    <t>750.00</t>
  </si>
  <si>
    <t>Pensiones por jubilación</t>
  </si>
  <si>
    <t>750.20</t>
  </si>
  <si>
    <t>Prestación de servicios internos</t>
  </si>
  <si>
    <t>759</t>
  </si>
  <si>
    <t>Sueldos y salarios (Prestacion de servicios externos)</t>
  </si>
  <si>
    <t>753.1</t>
  </si>
  <si>
    <t>Comunic. Bienes Gobierno General</t>
  </si>
  <si>
    <t>753.2</t>
  </si>
  <si>
    <t>Comunicación de bienes delegacion</t>
  </si>
  <si>
    <t>753.3</t>
  </si>
  <si>
    <t>Comunicación de bienes de Comunidades</t>
  </si>
  <si>
    <t>758.00</t>
  </si>
  <si>
    <t>Donativos</t>
  </si>
  <si>
    <t>758.1</t>
  </si>
  <si>
    <t>Donativos recibidos - FBM</t>
  </si>
  <si>
    <t>759.10</t>
  </si>
  <si>
    <t xml:space="preserve">Otros ingresos </t>
  </si>
  <si>
    <t>769.00</t>
  </si>
  <si>
    <t xml:space="preserve">Ingresos financieros </t>
  </si>
  <si>
    <t>768.00</t>
  </si>
  <si>
    <t>Diferencias positivas de cambio</t>
  </si>
  <si>
    <t>SUMA TOTAL INGRESOS</t>
  </si>
  <si>
    <t xml:space="preserve"> TRASPASO INTERNO</t>
  </si>
  <si>
    <t>Disposición de efectivo de BANCO para gastos de CAJA</t>
  </si>
  <si>
    <t>Disposición de efectivo de CAJA para gastos de BANCO</t>
  </si>
  <si>
    <t>INVERSIONES</t>
  </si>
  <si>
    <t>INVERSIONES MESES ANTER.</t>
  </si>
  <si>
    <t>206000</t>
  </si>
  <si>
    <t>Aplicaciones Informáticas</t>
  </si>
  <si>
    <t>Edificios y otras construcciones</t>
  </si>
  <si>
    <t>Maquinaria</t>
  </si>
  <si>
    <t>Utillaje</t>
  </si>
  <si>
    <t>Instalaciones</t>
  </si>
  <si>
    <t>Mobiliario y Enseres</t>
  </si>
  <si>
    <t>Equipos Informáticos</t>
  </si>
  <si>
    <t xml:space="preserve">TESORERIA </t>
  </si>
  <si>
    <t xml:space="preserve">FECHA </t>
  </si>
  <si>
    <t>SALDO ANTER.</t>
  </si>
  <si>
    <t>SALDO ACTUAL</t>
  </si>
  <si>
    <t xml:space="preserve">BANCOS </t>
  </si>
  <si>
    <t>Total Tesoreria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</si>
</sst>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#,##0.00\ _€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theme="1"/>
      <name val="Segoe UI"/>
      <family val="2"/>
    </font>
    <font>
      <sz val="10"/>
      <name val="Arial"/>
      <family val="2"/>
    </font>
    <font>
      <b/>
      <sz val="18"/>
      <color theme="0"/>
      <name val="Segoe UI"/>
      <family val="2"/>
    </font>
    <font>
      <b/>
      <sz val="24"/>
      <color theme="0"/>
      <name val="Segoe UI"/>
      <family val="2"/>
    </font>
    <font>
      <b/>
      <sz val="14"/>
      <color theme="0"/>
      <name val="Segoe UI"/>
      <family val="2"/>
    </font>
    <font>
      <b/>
      <sz val="14"/>
      <name val="Segoe UI"/>
      <family val="2"/>
    </font>
    <font>
      <sz val="14"/>
      <name val="Segoe UI"/>
      <family val="2"/>
    </font>
    <font>
      <b/>
      <sz val="16"/>
      <name val="Segoe UI"/>
      <family val="2"/>
    </font>
    <font>
      <sz val="14"/>
      <color theme="1"/>
      <name val="Segoe UI"/>
      <family val="2"/>
    </font>
    <font>
      <sz val="12"/>
      <name val="Segoe UI"/>
      <family val="2"/>
    </font>
    <font>
      <sz val="11"/>
      <color rgb="FFFF0000"/>
      <name val="Segoe UI"/>
      <family val="2"/>
    </font>
    <font>
      <sz val="11"/>
      <name val="Segoe UI"/>
      <family val="2"/>
    </font>
    <font>
      <sz val="11"/>
      <color theme="0"/>
      <name val="Segoe UI"/>
      <family val="2"/>
    </font>
    <font>
      <sz val="10"/>
      <name val="Segoe UI"/>
      <family val="2"/>
    </font>
    <font>
      <b/>
      <i/>
      <sz val="14"/>
      <name val="Segoe UI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rgb="FF8C0052"/>
      <name val="Arial"/>
      <family val="2"/>
    </font>
    <font>
      <sz val="13"/>
      <color rgb="FFFF0000"/>
      <name val="Segoe UI"/>
      <family val="2"/>
    </font>
    <font>
      <i/>
      <sz val="13"/>
      <color rgb="FFFF0000"/>
      <name val="Segoe UI"/>
      <family val="2"/>
    </font>
    <font>
      <sz val="13"/>
      <color theme="1"/>
      <name val="Segoe UI"/>
      <family val="2"/>
    </font>
    <font>
      <sz val="13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rgb="FF8C005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indexed="9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59999389629810485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78CDD1"/>
        <bgColor theme="0"/>
      </patternFill>
    </fill>
    <fill>
      <patternFill patternType="solid">
        <fgColor theme="7" tint="0.59999389629810485"/>
        <bgColor theme="0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8C0052"/>
      </left>
      <right style="thin">
        <color indexed="64"/>
      </right>
      <top style="medium">
        <color rgb="FF8C0052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8C0052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8C005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8C0052"/>
      </top>
      <bottom style="thin">
        <color indexed="64"/>
      </bottom>
      <diagonal/>
    </border>
    <border>
      <left/>
      <right style="thin">
        <color indexed="64"/>
      </right>
      <top style="medium">
        <color rgb="FF8C0052"/>
      </top>
      <bottom style="thin">
        <color indexed="64"/>
      </bottom>
      <diagonal/>
    </border>
    <border>
      <left style="thin">
        <color indexed="64"/>
      </left>
      <right style="medium">
        <color rgb="FF8C0052"/>
      </right>
      <top style="medium">
        <color rgb="FF8C0052"/>
      </top>
      <bottom style="thin">
        <color indexed="64"/>
      </bottom>
      <diagonal/>
    </border>
    <border>
      <left style="medium">
        <color rgb="FF8C005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8C0052"/>
      </right>
      <top style="thin">
        <color indexed="64"/>
      </top>
      <bottom style="thin">
        <color indexed="64"/>
      </bottom>
      <diagonal/>
    </border>
    <border>
      <left style="medium">
        <color rgb="FF8C0052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8C0052"/>
      </right>
      <top style="thin">
        <color indexed="64"/>
      </top>
      <bottom style="medium">
        <color indexed="64"/>
      </bottom>
      <diagonal/>
    </border>
    <border>
      <left style="medium">
        <color rgb="FF8C0052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8C005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8C0052"/>
      </right>
      <top style="thin">
        <color indexed="64"/>
      </top>
      <bottom/>
      <diagonal/>
    </border>
    <border>
      <left style="medium">
        <color rgb="FF8C005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8C0052"/>
      </right>
      <top style="medium">
        <color indexed="64"/>
      </top>
      <bottom style="thin">
        <color indexed="64"/>
      </bottom>
      <diagonal/>
    </border>
    <border>
      <left style="medium">
        <color rgb="FF8C0052"/>
      </left>
      <right style="thin">
        <color indexed="64"/>
      </right>
      <top style="thin">
        <color indexed="64"/>
      </top>
      <bottom style="medium">
        <color rgb="FF8C0052"/>
      </bottom>
      <diagonal/>
    </border>
    <border>
      <left style="thin">
        <color indexed="64"/>
      </left>
      <right/>
      <top style="thin">
        <color indexed="64"/>
      </top>
      <bottom style="medium">
        <color rgb="FF8C00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8C005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8C0052"/>
      </bottom>
      <diagonal/>
    </border>
    <border>
      <left style="medium">
        <color indexed="64"/>
      </left>
      <right style="thin">
        <color indexed="64"/>
      </right>
      <top/>
      <bottom style="medium">
        <color rgb="FF8C0052"/>
      </bottom>
      <diagonal/>
    </border>
    <border>
      <left/>
      <right style="thin">
        <color indexed="64"/>
      </right>
      <top/>
      <bottom style="medium">
        <color rgb="FF8C0052"/>
      </bottom>
      <diagonal/>
    </border>
    <border>
      <left style="thin">
        <color indexed="64"/>
      </left>
      <right style="medium">
        <color rgb="FF8C0052"/>
      </right>
      <top style="thin">
        <color indexed="64"/>
      </top>
      <bottom style="medium">
        <color rgb="FF8C0052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263">
    <xf numFmtId="0" fontId="0" fillId="0" borderId="0" xfId="0"/>
    <xf numFmtId="0" fontId="3" fillId="2" borderId="0" xfId="0" applyFont="1" applyFill="1" applyAlignment="1" applyProtection="1">
      <alignment horizontal="center" vertical="center"/>
    </xf>
    <xf numFmtId="0" fontId="0" fillId="2" borderId="0" xfId="0" applyFont="1" applyFill="1" applyAlignment="1" applyProtection="1">
      <alignment vertical="center" wrapText="1"/>
    </xf>
    <xf numFmtId="0" fontId="0" fillId="2" borderId="0" xfId="0" applyFont="1" applyFill="1" applyAlignment="1" applyProtection="1">
      <alignment vertical="center"/>
    </xf>
    <xf numFmtId="0" fontId="5" fillId="3" borderId="1" xfId="2" applyFont="1" applyFill="1" applyBorder="1" applyAlignment="1" applyProtection="1">
      <alignment horizontal="left" vertical="center"/>
      <protection locked="0"/>
    </xf>
    <xf numFmtId="0" fontId="5" fillId="3" borderId="2" xfId="2" applyFont="1" applyFill="1" applyBorder="1" applyAlignment="1" applyProtection="1">
      <alignment horizontal="left" vertical="center"/>
      <protection locked="0"/>
    </xf>
    <xf numFmtId="0" fontId="5" fillId="3" borderId="2" xfId="2" applyFont="1" applyFill="1" applyBorder="1" applyAlignment="1" applyProtection="1">
      <alignment horizontal="center" vertical="center"/>
    </xf>
    <xf numFmtId="14" fontId="5" fillId="3" borderId="2" xfId="2" applyNumberFormat="1" applyFont="1" applyFill="1" applyBorder="1" applyAlignment="1" applyProtection="1">
      <alignment horizontal="left" vertical="center"/>
    </xf>
    <xf numFmtId="0" fontId="6" fillId="3" borderId="2" xfId="2" applyFont="1" applyFill="1" applyBorder="1" applyAlignment="1" applyProtection="1">
      <alignment vertical="center"/>
    </xf>
    <xf numFmtId="0" fontId="6" fillId="3" borderId="3" xfId="2" applyFont="1" applyFill="1" applyBorder="1" applyAlignment="1" applyProtection="1">
      <alignment vertical="center"/>
    </xf>
    <xf numFmtId="0" fontId="5" fillId="3" borderId="4" xfId="2" applyFont="1" applyFill="1" applyBorder="1" applyAlignment="1" applyProtection="1">
      <alignment horizontal="left" vertical="center"/>
      <protection locked="0"/>
    </xf>
    <xf numFmtId="0" fontId="5" fillId="3" borderId="5" xfId="2" applyFont="1" applyFill="1" applyBorder="1" applyAlignment="1" applyProtection="1">
      <alignment horizontal="left" vertical="center"/>
      <protection locked="0"/>
    </xf>
    <xf numFmtId="0" fontId="5" fillId="3" borderId="5" xfId="2" applyFont="1" applyFill="1" applyBorder="1" applyAlignment="1" applyProtection="1">
      <alignment horizontal="center" vertical="center"/>
    </xf>
    <xf numFmtId="14" fontId="5" fillId="3" borderId="5" xfId="2" applyNumberFormat="1" applyFont="1" applyFill="1" applyBorder="1" applyAlignment="1" applyProtection="1">
      <alignment horizontal="left" vertical="center"/>
    </xf>
    <xf numFmtId="0" fontId="6" fillId="3" borderId="5" xfId="2" applyFont="1" applyFill="1" applyBorder="1" applyAlignment="1" applyProtection="1">
      <alignment vertical="center"/>
    </xf>
    <xf numFmtId="0" fontId="6" fillId="3" borderId="6" xfId="2" applyFont="1" applyFill="1" applyBorder="1" applyAlignment="1" applyProtection="1">
      <alignment vertical="center"/>
    </xf>
    <xf numFmtId="0" fontId="7" fillId="3" borderId="7" xfId="2" applyFont="1" applyFill="1" applyBorder="1" applyAlignment="1" applyProtection="1">
      <alignment horizontal="center" vertical="center" wrapText="1"/>
    </xf>
    <xf numFmtId="0" fontId="7" fillId="3" borderId="8" xfId="2" applyFont="1" applyFill="1" applyBorder="1" applyAlignment="1" applyProtection="1">
      <alignment horizontal="center" vertical="center" wrapText="1"/>
    </xf>
    <xf numFmtId="0" fontId="7" fillId="3" borderId="9" xfId="2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0" xfId="2" applyFont="1" applyFill="1" applyBorder="1" applyAlignment="1" applyProtection="1">
      <alignment horizontal="center" vertical="center" wrapText="1"/>
    </xf>
    <xf numFmtId="0" fontId="7" fillId="3" borderId="11" xfId="2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/>
    </xf>
    <xf numFmtId="0" fontId="7" fillId="3" borderId="12" xfId="2" applyFont="1" applyFill="1" applyBorder="1" applyAlignment="1" applyProtection="1">
      <alignment horizontal="center" vertical="center" wrapText="1"/>
    </xf>
    <xf numFmtId="0" fontId="7" fillId="3" borderId="13" xfId="2" applyFont="1" applyFill="1" applyBorder="1" applyAlignment="1" applyProtection="1">
      <alignment horizontal="center" vertical="center" wrapText="1"/>
    </xf>
    <xf numFmtId="0" fontId="7" fillId="3" borderId="14" xfId="2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5" xfId="2" applyFont="1" applyFill="1" applyBorder="1" applyAlignment="1" applyProtection="1">
      <alignment horizontal="center" vertical="center" wrapText="1"/>
    </xf>
    <xf numFmtId="0" fontId="7" fillId="3" borderId="16" xfId="2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 applyProtection="1">
      <alignment horizontal="right" vertical="center" wrapText="1"/>
    </xf>
    <xf numFmtId="0" fontId="8" fillId="2" borderId="2" xfId="2" applyFont="1" applyFill="1" applyBorder="1" applyAlignment="1" applyProtection="1">
      <alignment horizontal="right" vertical="center" wrapText="1"/>
    </xf>
    <xf numFmtId="0" fontId="8" fillId="2" borderId="3" xfId="2" applyFont="1" applyFill="1" applyBorder="1" applyAlignment="1" applyProtection="1">
      <alignment horizontal="right" vertical="center" wrapText="1"/>
    </xf>
    <xf numFmtId="164" fontId="8" fillId="4" borderId="9" xfId="2" applyNumberFormat="1" applyFont="1" applyFill="1" applyBorder="1" applyAlignment="1" applyProtection="1">
      <alignment horizontal="right" vertical="center" wrapText="1"/>
      <protection locked="0"/>
    </xf>
    <xf numFmtId="164" fontId="8" fillId="4" borderId="11" xfId="2" applyNumberFormat="1" applyFont="1" applyFill="1" applyBorder="1" applyAlignment="1" applyProtection="1">
      <alignment horizontal="right" vertical="center" wrapText="1"/>
      <protection locked="0"/>
    </xf>
    <xf numFmtId="0" fontId="9" fillId="2" borderId="1" xfId="2" applyFont="1" applyFill="1" applyBorder="1" applyAlignment="1" applyProtection="1">
      <alignment vertical="center" wrapText="1"/>
    </xf>
    <xf numFmtId="0" fontId="9" fillId="2" borderId="2" xfId="2" applyFont="1" applyFill="1" applyBorder="1" applyAlignment="1" applyProtection="1">
      <alignment vertical="center" wrapText="1"/>
    </xf>
    <xf numFmtId="0" fontId="9" fillId="2" borderId="3" xfId="2" applyFont="1" applyFill="1" applyBorder="1" applyAlignment="1" applyProtection="1">
      <alignment vertical="center" wrapText="1"/>
    </xf>
    <xf numFmtId="0" fontId="2" fillId="2" borderId="0" xfId="0" applyFont="1" applyFill="1" applyAlignment="1" applyProtection="1">
      <alignment vertical="center"/>
    </xf>
    <xf numFmtId="49" fontId="10" fillId="2" borderId="17" xfId="2" applyNumberFormat="1" applyFont="1" applyFill="1" applyBorder="1" applyAlignment="1" applyProtection="1">
      <alignment horizontal="center" vertical="center"/>
    </xf>
    <xf numFmtId="0" fontId="9" fillId="2" borderId="18" xfId="2" applyFont="1" applyFill="1" applyBorder="1" applyAlignment="1" applyProtection="1">
      <alignment horizontal="left" vertical="center" wrapText="1"/>
    </xf>
    <xf numFmtId="4" fontId="9" fillId="5" borderId="20" xfId="2" applyNumberFormat="1" applyFont="1" applyFill="1" applyBorder="1" applyAlignment="1" applyProtection="1">
      <alignment horizontal="right" vertical="center"/>
      <protection locked="0"/>
    </xf>
    <xf numFmtId="4" fontId="9" fillId="6" borderId="19" xfId="2" applyNumberFormat="1" applyFont="1" applyFill="1" applyBorder="1" applyAlignment="1" applyProtection="1">
      <alignment horizontal="right" vertical="center"/>
    </xf>
    <xf numFmtId="4" fontId="11" fillId="2" borderId="20" xfId="0" applyNumberFormat="1" applyFont="1" applyFill="1" applyBorder="1" applyAlignment="1" applyProtection="1">
      <alignment vertical="center"/>
    </xf>
    <xf numFmtId="4" fontId="9" fillId="5" borderId="21" xfId="2" applyNumberFormat="1" applyFont="1" applyFill="1" applyBorder="1" applyAlignment="1" applyProtection="1">
      <alignment horizontal="right" vertical="center"/>
    </xf>
    <xf numFmtId="4" fontId="11" fillId="2" borderId="22" xfId="0" applyNumberFormat="1" applyFont="1" applyFill="1" applyBorder="1" applyAlignment="1" applyProtection="1">
      <alignment vertical="center"/>
    </xf>
    <xf numFmtId="164" fontId="0" fillId="2" borderId="0" xfId="0" applyNumberFormat="1" applyFont="1" applyFill="1" applyAlignment="1" applyProtection="1">
      <alignment vertical="center"/>
    </xf>
    <xf numFmtId="49" fontId="10" fillId="2" borderId="23" xfId="2" applyNumberFormat="1" applyFont="1" applyFill="1" applyBorder="1" applyAlignment="1" applyProtection="1">
      <alignment horizontal="center" vertical="center"/>
    </xf>
    <xf numFmtId="0" fontId="9" fillId="2" borderId="24" xfId="2" applyFont="1" applyFill="1" applyBorder="1" applyAlignment="1" applyProtection="1">
      <alignment horizontal="left" vertical="center" wrapText="1"/>
    </xf>
    <xf numFmtId="4" fontId="11" fillId="2" borderId="25" xfId="0" applyNumberFormat="1" applyFont="1" applyFill="1" applyBorder="1" applyAlignment="1" applyProtection="1">
      <alignment vertical="center"/>
    </xf>
    <xf numFmtId="4" fontId="9" fillId="5" borderId="26" xfId="2" applyNumberFormat="1" applyFont="1" applyFill="1" applyBorder="1" applyAlignment="1" applyProtection="1">
      <alignment horizontal="right" vertical="center"/>
      <protection locked="0"/>
    </xf>
    <xf numFmtId="4" fontId="9" fillId="5" borderId="27" xfId="2" applyNumberFormat="1" applyFont="1" applyFill="1" applyBorder="1" applyAlignment="1" applyProtection="1">
      <alignment horizontal="right" vertical="center"/>
    </xf>
    <xf numFmtId="4" fontId="11" fillId="2" borderId="26" xfId="0" applyNumberFormat="1" applyFont="1" applyFill="1" applyBorder="1" applyAlignment="1" applyProtection="1">
      <alignment vertical="center"/>
    </xf>
    <xf numFmtId="4" fontId="9" fillId="5" borderId="28" xfId="2" applyNumberFormat="1" applyFont="1" applyFill="1" applyBorder="1" applyAlignment="1" applyProtection="1">
      <alignment horizontal="right" vertical="center"/>
    </xf>
    <xf numFmtId="4" fontId="11" fillId="2" borderId="29" xfId="0" applyNumberFormat="1" applyFont="1" applyFill="1" applyBorder="1" applyAlignment="1" applyProtection="1">
      <alignment vertical="center"/>
    </xf>
    <xf numFmtId="49" fontId="10" fillId="2" borderId="30" xfId="2" applyNumberFormat="1" applyFont="1" applyFill="1" applyBorder="1" applyAlignment="1" applyProtection="1">
      <alignment horizontal="center" vertical="center"/>
    </xf>
    <xf numFmtId="0" fontId="9" fillId="2" borderId="31" xfId="2" applyFont="1" applyFill="1" applyBorder="1" applyAlignment="1" applyProtection="1">
      <alignment horizontal="left" vertical="center" wrapText="1"/>
    </xf>
    <xf numFmtId="4" fontId="11" fillId="2" borderId="32" xfId="0" applyNumberFormat="1" applyFont="1" applyFill="1" applyBorder="1" applyAlignment="1" applyProtection="1">
      <alignment vertical="center"/>
    </xf>
    <xf numFmtId="4" fontId="9" fillId="5" borderId="33" xfId="2" applyNumberFormat="1" applyFont="1" applyFill="1" applyBorder="1" applyAlignment="1" applyProtection="1">
      <alignment horizontal="right" vertical="center"/>
      <protection locked="0"/>
    </xf>
    <xf numFmtId="4" fontId="9" fillId="5" borderId="34" xfId="2" applyNumberFormat="1" applyFont="1" applyFill="1" applyBorder="1" applyAlignment="1" applyProtection="1">
      <alignment horizontal="right" vertical="center"/>
    </xf>
    <xf numFmtId="4" fontId="11" fillId="2" borderId="33" xfId="0" applyNumberFormat="1" applyFont="1" applyFill="1" applyBorder="1" applyAlignment="1" applyProtection="1">
      <alignment vertical="center"/>
    </xf>
    <xf numFmtId="4" fontId="9" fillId="5" borderId="35" xfId="2" applyNumberFormat="1" applyFont="1" applyFill="1" applyBorder="1" applyAlignment="1" applyProtection="1">
      <alignment horizontal="right" vertical="center"/>
    </xf>
    <xf numFmtId="4" fontId="11" fillId="2" borderId="36" xfId="0" applyNumberFormat="1" applyFont="1" applyFill="1" applyBorder="1" applyAlignment="1" applyProtection="1">
      <alignment vertical="center"/>
    </xf>
    <xf numFmtId="49" fontId="10" fillId="7" borderId="37" xfId="2" applyNumberFormat="1" applyFont="1" applyFill="1" applyBorder="1" applyAlignment="1" applyProtection="1">
      <alignment horizontal="center" vertical="center"/>
    </xf>
    <xf numFmtId="0" fontId="8" fillId="7" borderId="38" xfId="2" applyFont="1" applyFill="1" applyBorder="1" applyAlignment="1" applyProtection="1">
      <alignment horizontal="left" vertical="center" wrapText="1"/>
    </xf>
    <xf numFmtId="4" fontId="11" fillId="7" borderId="39" xfId="0" applyNumberFormat="1" applyFont="1" applyFill="1" applyBorder="1" applyAlignment="1" applyProtection="1">
      <alignment vertical="center"/>
    </xf>
    <xf numFmtId="4" fontId="11" fillId="8" borderId="40" xfId="0" applyNumberFormat="1" applyFont="1" applyFill="1" applyBorder="1" applyAlignment="1" applyProtection="1">
      <alignment vertical="center"/>
    </xf>
    <xf numFmtId="4" fontId="11" fillId="8" borderId="41" xfId="0" applyNumberFormat="1" applyFont="1" applyFill="1" applyBorder="1" applyAlignment="1" applyProtection="1">
      <alignment vertical="center"/>
    </xf>
    <xf numFmtId="4" fontId="9" fillId="8" borderId="27" xfId="2" applyNumberFormat="1" applyFont="1" applyFill="1" applyBorder="1" applyAlignment="1" applyProtection="1">
      <alignment horizontal="right" vertical="center"/>
    </xf>
    <xf numFmtId="4" fontId="11" fillId="8" borderId="42" xfId="0" applyNumberFormat="1" applyFont="1" applyFill="1" applyBorder="1" applyAlignment="1" applyProtection="1">
      <alignment vertical="center"/>
    </xf>
    <xf numFmtId="4" fontId="9" fillId="8" borderId="35" xfId="2" applyNumberFormat="1" applyFont="1" applyFill="1" applyBorder="1" applyAlignment="1" applyProtection="1">
      <alignment horizontal="right" vertical="center"/>
    </xf>
    <xf numFmtId="4" fontId="11" fillId="8" borderId="43" xfId="0" applyNumberFormat="1" applyFont="1" applyFill="1" applyBorder="1" applyAlignment="1" applyProtection="1">
      <alignment vertical="center"/>
    </xf>
    <xf numFmtId="0" fontId="9" fillId="9" borderId="44" xfId="2" applyFont="1" applyFill="1" applyBorder="1" applyAlignment="1" applyProtection="1">
      <alignment horizontal="left" vertical="center" wrapText="1"/>
    </xf>
    <xf numFmtId="4" fontId="3" fillId="2" borderId="45" xfId="0" applyNumberFormat="1" applyFont="1" applyFill="1" applyBorder="1" applyAlignment="1" applyProtection="1">
      <alignment vertical="center"/>
    </xf>
    <xf numFmtId="4" fontId="12" fillId="5" borderId="46" xfId="2" applyNumberFormat="1" applyFont="1" applyFill="1" applyBorder="1" applyAlignment="1" applyProtection="1">
      <alignment horizontal="right" vertical="center"/>
      <protection locked="0"/>
    </xf>
    <xf numFmtId="4" fontId="12" fillId="5" borderId="24" xfId="2" applyNumberFormat="1" applyFont="1" applyFill="1" applyBorder="1" applyAlignment="1" applyProtection="1">
      <alignment horizontal="right" vertical="center"/>
      <protection locked="0"/>
    </xf>
    <xf numFmtId="4" fontId="12" fillId="5" borderId="27" xfId="2" applyNumberFormat="1" applyFont="1" applyFill="1" applyBorder="1" applyAlignment="1" applyProtection="1">
      <alignment horizontal="right" vertical="center"/>
    </xf>
    <xf numFmtId="4" fontId="3" fillId="2" borderId="26" xfId="0" applyNumberFormat="1" applyFont="1" applyFill="1" applyBorder="1" applyAlignment="1" applyProtection="1">
      <alignment vertical="center"/>
    </xf>
    <xf numFmtId="4" fontId="12" fillId="5" borderId="28" xfId="2" applyNumberFormat="1" applyFont="1" applyFill="1" applyBorder="1" applyAlignment="1" applyProtection="1">
      <alignment horizontal="right" vertical="center"/>
    </xf>
    <xf numFmtId="4" fontId="3" fillId="2" borderId="29" xfId="0" applyNumberFormat="1" applyFont="1" applyFill="1" applyBorder="1" applyAlignment="1" applyProtection="1">
      <alignment vertical="center"/>
    </xf>
    <xf numFmtId="0" fontId="9" fillId="9" borderId="47" xfId="2" applyFont="1" applyFill="1" applyBorder="1" applyAlignment="1" applyProtection="1">
      <alignment horizontal="left" vertical="center" wrapText="1"/>
    </xf>
    <xf numFmtId="4" fontId="12" fillId="5" borderId="49" xfId="2" applyNumberFormat="1" applyFont="1" applyFill="1" applyBorder="1" applyAlignment="1" applyProtection="1">
      <alignment horizontal="right" vertical="center"/>
      <protection locked="0"/>
    </xf>
    <xf numFmtId="4" fontId="12" fillId="5" borderId="14" xfId="2" applyNumberFormat="1" applyFont="1" applyFill="1" applyBorder="1" applyAlignment="1" applyProtection="1">
      <alignment horizontal="right" vertical="center"/>
    </xf>
    <xf numFmtId="4" fontId="3" fillId="2" borderId="50" xfId="0" applyNumberFormat="1" applyFont="1" applyFill="1" applyBorder="1" applyAlignment="1" applyProtection="1">
      <alignment vertical="center"/>
    </xf>
    <xf numFmtId="4" fontId="12" fillId="5" borderId="51" xfId="2" applyNumberFormat="1" applyFont="1" applyFill="1" applyBorder="1" applyAlignment="1" applyProtection="1">
      <alignment horizontal="right" vertical="center"/>
    </xf>
    <xf numFmtId="4" fontId="3" fillId="2" borderId="52" xfId="0" applyNumberFormat="1" applyFont="1" applyFill="1" applyBorder="1" applyAlignment="1" applyProtection="1">
      <alignment vertical="center"/>
    </xf>
    <xf numFmtId="49" fontId="10" fillId="2" borderId="53" xfId="2" applyNumberFormat="1" applyFont="1" applyFill="1" applyBorder="1" applyAlignment="1" applyProtection="1">
      <alignment horizontal="center" vertical="center"/>
    </xf>
    <xf numFmtId="0" fontId="9" fillId="2" borderId="54" xfId="2" applyFont="1" applyFill="1" applyBorder="1" applyAlignment="1" applyProtection="1">
      <alignment horizontal="left" vertical="center" wrapText="1"/>
    </xf>
    <xf numFmtId="4" fontId="11" fillId="2" borderId="7" xfId="0" applyNumberFormat="1" applyFont="1" applyFill="1" applyBorder="1" applyAlignment="1" applyProtection="1">
      <alignment vertical="center"/>
    </xf>
    <xf numFmtId="4" fontId="9" fillId="5" borderId="55" xfId="2" applyNumberFormat="1" applyFont="1" applyFill="1" applyBorder="1" applyAlignment="1" applyProtection="1">
      <alignment horizontal="right" vertical="center"/>
      <protection locked="0"/>
    </xf>
    <xf numFmtId="4" fontId="9" fillId="5" borderId="41" xfId="2" applyNumberFormat="1" applyFont="1" applyFill="1" applyBorder="1" applyAlignment="1" applyProtection="1">
      <alignment horizontal="right" vertical="center"/>
      <protection locked="0"/>
    </xf>
    <xf numFmtId="4" fontId="9" fillId="5" borderId="7" xfId="2" applyNumberFormat="1" applyFont="1" applyFill="1" applyBorder="1" applyAlignment="1" applyProtection="1">
      <alignment horizontal="right" vertical="center"/>
    </xf>
    <xf numFmtId="4" fontId="11" fillId="2" borderId="55" xfId="0" applyNumberFormat="1" applyFont="1" applyFill="1" applyBorder="1" applyAlignment="1" applyProtection="1">
      <alignment vertical="center"/>
    </xf>
    <xf numFmtId="4" fontId="9" fillId="6" borderId="40" xfId="2" applyNumberFormat="1" applyFont="1" applyFill="1" applyBorder="1" applyAlignment="1" applyProtection="1">
      <alignment horizontal="right" vertical="center"/>
    </xf>
    <xf numFmtId="4" fontId="11" fillId="2" borderId="56" xfId="0" applyNumberFormat="1" applyFont="1" applyFill="1" applyBorder="1" applyAlignment="1" applyProtection="1">
      <alignment vertical="center"/>
    </xf>
    <xf numFmtId="4" fontId="9" fillId="6" borderId="42" xfId="2" applyNumberFormat="1" applyFont="1" applyFill="1" applyBorder="1" applyAlignment="1" applyProtection="1">
      <alignment horizontal="right" vertical="center"/>
      <protection locked="0"/>
    </xf>
    <xf numFmtId="0" fontId="9" fillId="2" borderId="44" xfId="2" applyFont="1" applyFill="1" applyBorder="1" applyAlignment="1" applyProtection="1">
      <alignment horizontal="left" vertical="center" wrapText="1"/>
    </xf>
    <xf numFmtId="4" fontId="9" fillId="5" borderId="24" xfId="2" applyNumberFormat="1" applyFont="1" applyFill="1" applyBorder="1" applyAlignment="1" applyProtection="1">
      <alignment horizontal="right" vertical="center"/>
      <protection locked="0"/>
    </xf>
    <xf numFmtId="4" fontId="9" fillId="6" borderId="28" xfId="2" applyNumberFormat="1" applyFont="1" applyFill="1" applyBorder="1" applyAlignment="1" applyProtection="1">
      <alignment horizontal="right" vertical="center"/>
    </xf>
    <xf numFmtId="4" fontId="9" fillId="6" borderId="26" xfId="2" applyNumberFormat="1" applyFont="1" applyFill="1" applyBorder="1" applyAlignment="1" applyProtection="1">
      <alignment horizontal="right" vertical="center"/>
      <protection locked="0"/>
    </xf>
    <xf numFmtId="49" fontId="10" fillId="2" borderId="57" xfId="2" applyNumberFormat="1" applyFont="1" applyFill="1" applyBorder="1" applyAlignment="1" applyProtection="1">
      <alignment horizontal="center" vertical="center"/>
    </xf>
    <xf numFmtId="0" fontId="9" fillId="2" borderId="58" xfId="2" applyFont="1" applyFill="1" applyBorder="1" applyAlignment="1" applyProtection="1">
      <alignment horizontal="left" vertical="center" wrapText="1"/>
    </xf>
    <xf numFmtId="4" fontId="9" fillId="5" borderId="59" xfId="2" applyNumberFormat="1" applyFont="1" applyFill="1" applyBorder="1" applyAlignment="1" applyProtection="1">
      <alignment horizontal="right" vertical="center"/>
      <protection locked="0"/>
    </xf>
    <xf numFmtId="4" fontId="9" fillId="5" borderId="60" xfId="2" applyNumberFormat="1" applyFont="1" applyFill="1" applyBorder="1" applyAlignment="1" applyProtection="1">
      <alignment horizontal="right" vertical="center"/>
      <protection locked="0"/>
    </xf>
    <xf numFmtId="4" fontId="9" fillId="5" borderId="61" xfId="2" applyNumberFormat="1" applyFont="1" applyFill="1" applyBorder="1" applyAlignment="1" applyProtection="1">
      <alignment horizontal="right" vertical="center"/>
    </xf>
    <xf numFmtId="4" fontId="11" fillId="2" borderId="59" xfId="0" applyNumberFormat="1" applyFont="1" applyFill="1" applyBorder="1" applyAlignment="1" applyProtection="1">
      <alignment vertical="center"/>
    </xf>
    <xf numFmtId="4" fontId="9" fillId="6" borderId="62" xfId="2" applyNumberFormat="1" applyFont="1" applyFill="1" applyBorder="1" applyAlignment="1" applyProtection="1">
      <alignment horizontal="right" vertical="center"/>
    </xf>
    <xf numFmtId="4" fontId="11" fillId="2" borderId="63" xfId="0" applyNumberFormat="1" applyFont="1" applyFill="1" applyBorder="1" applyAlignment="1" applyProtection="1">
      <alignment vertical="center"/>
    </xf>
    <xf numFmtId="0" fontId="13" fillId="2" borderId="0" xfId="0" applyFont="1" applyFill="1" applyAlignment="1" applyProtection="1">
      <alignment vertical="center"/>
    </xf>
    <xf numFmtId="49" fontId="10" fillId="2" borderId="27" xfId="2" applyNumberFormat="1" applyFont="1" applyFill="1" applyBorder="1" applyAlignment="1" applyProtection="1">
      <alignment horizontal="center" vertical="center"/>
    </xf>
    <xf numFmtId="4" fontId="11" fillId="2" borderId="27" xfId="0" applyNumberFormat="1" applyFont="1" applyFill="1" applyBorder="1" applyAlignment="1" applyProtection="1">
      <alignment vertical="center"/>
    </xf>
    <xf numFmtId="4" fontId="9" fillId="5" borderId="42" xfId="2" applyNumberFormat="1" applyFont="1" applyFill="1" applyBorder="1" applyAlignment="1" applyProtection="1">
      <alignment horizontal="right" vertical="center"/>
      <protection locked="0"/>
    </xf>
    <xf numFmtId="4" fontId="9" fillId="5" borderId="64" xfId="2" applyNumberFormat="1" applyFont="1" applyFill="1" applyBorder="1" applyAlignment="1" applyProtection="1">
      <alignment horizontal="right" vertical="center"/>
      <protection locked="0"/>
    </xf>
    <xf numFmtId="4" fontId="11" fillId="2" borderId="42" xfId="0" applyNumberFormat="1" applyFont="1" applyFill="1" applyBorder="1" applyAlignment="1" applyProtection="1">
      <alignment vertical="center"/>
    </xf>
    <xf numFmtId="4" fontId="11" fillId="2" borderId="64" xfId="0" applyNumberFormat="1" applyFont="1" applyFill="1" applyBorder="1" applyAlignment="1" applyProtection="1">
      <alignment vertical="center"/>
    </xf>
    <xf numFmtId="49" fontId="10" fillId="2" borderId="25" xfId="2" applyNumberFormat="1" applyFont="1" applyFill="1" applyBorder="1" applyAlignment="1" applyProtection="1">
      <alignment horizontal="center" vertical="center"/>
    </xf>
    <xf numFmtId="4" fontId="11" fillId="2" borderId="24" xfId="0" applyNumberFormat="1" applyFont="1" applyFill="1" applyBorder="1" applyAlignment="1" applyProtection="1">
      <alignment vertical="center"/>
    </xf>
    <xf numFmtId="43" fontId="10" fillId="2" borderId="26" xfId="1" applyFont="1" applyFill="1" applyBorder="1" applyAlignment="1" applyProtection="1">
      <alignment horizontal="center" vertical="center"/>
    </xf>
    <xf numFmtId="49" fontId="10" fillId="2" borderId="14" xfId="2" applyNumberFormat="1" applyFont="1" applyFill="1" applyBorder="1" applyAlignment="1" applyProtection="1">
      <alignment horizontal="center" vertical="center"/>
    </xf>
    <xf numFmtId="0" fontId="9" fillId="2" borderId="13" xfId="2" applyFont="1" applyFill="1" applyBorder="1" applyAlignment="1" applyProtection="1">
      <alignment horizontal="left" vertical="center" wrapText="1"/>
    </xf>
    <xf numFmtId="4" fontId="11" fillId="2" borderId="34" xfId="0" applyNumberFormat="1" applyFont="1" applyFill="1" applyBorder="1" applyAlignment="1" applyProtection="1">
      <alignment vertical="center"/>
    </xf>
    <xf numFmtId="4" fontId="9" fillId="5" borderId="65" xfId="2" applyNumberFormat="1" applyFont="1" applyFill="1" applyBorder="1" applyAlignment="1" applyProtection="1">
      <alignment horizontal="right" vertical="center"/>
      <protection locked="0"/>
    </xf>
    <xf numFmtId="4" fontId="9" fillId="5" borderId="66" xfId="2" applyNumberFormat="1" applyFont="1" applyFill="1" applyBorder="1" applyAlignment="1" applyProtection="1">
      <alignment horizontal="right" vertical="center"/>
      <protection locked="0"/>
    </xf>
    <xf numFmtId="4" fontId="11" fillId="2" borderId="65" xfId="0" applyNumberFormat="1" applyFont="1" applyFill="1" applyBorder="1" applyAlignment="1" applyProtection="1">
      <alignment vertical="center"/>
    </xf>
    <xf numFmtId="4" fontId="11" fillId="2" borderId="66" xfId="0" applyNumberFormat="1" applyFont="1" applyFill="1" applyBorder="1" applyAlignment="1" applyProtection="1">
      <alignment vertical="center"/>
    </xf>
    <xf numFmtId="0" fontId="10" fillId="7" borderId="7" xfId="2" applyFont="1" applyFill="1" applyBorder="1" applyAlignment="1" applyProtection="1">
      <alignment horizontal="center" vertical="center"/>
    </xf>
    <xf numFmtId="0" fontId="8" fillId="7" borderId="41" xfId="2" applyFont="1" applyFill="1" applyBorder="1" applyAlignment="1" applyProtection="1">
      <alignment horizontal="left" vertical="center" wrapText="1"/>
    </xf>
    <xf numFmtId="4" fontId="11" fillId="8" borderId="67" xfId="0" applyNumberFormat="1" applyFont="1" applyFill="1" applyBorder="1" applyAlignment="1" applyProtection="1">
      <alignment vertical="center"/>
    </xf>
    <xf numFmtId="4" fontId="9" fillId="8" borderId="7" xfId="2" applyNumberFormat="1" applyFont="1" applyFill="1" applyBorder="1" applyAlignment="1" applyProtection="1">
      <alignment horizontal="right" vertical="center"/>
    </xf>
    <xf numFmtId="4" fontId="9" fillId="8" borderId="40" xfId="2" applyNumberFormat="1" applyFont="1" applyFill="1" applyBorder="1" applyAlignment="1" applyProtection="1">
      <alignment horizontal="right" vertical="center"/>
    </xf>
    <xf numFmtId="3" fontId="10" fillId="6" borderId="25" xfId="2" applyNumberFormat="1" applyFont="1" applyFill="1" applyBorder="1" applyAlignment="1" applyProtection="1">
      <alignment horizontal="center" vertical="center"/>
    </xf>
    <xf numFmtId="0" fontId="12" fillId="10" borderId="24" xfId="2" applyFont="1" applyFill="1" applyBorder="1" applyAlignment="1" applyProtection="1">
      <alignment horizontal="left" vertical="center" wrapText="1"/>
    </xf>
    <xf numFmtId="4" fontId="3" fillId="2" borderId="68" xfId="0" applyNumberFormat="1" applyFont="1" applyFill="1" applyBorder="1" applyAlignment="1" applyProtection="1">
      <alignment vertical="center"/>
    </xf>
    <xf numFmtId="4" fontId="3" fillId="2" borderId="24" xfId="0" applyNumberFormat="1" applyFont="1" applyFill="1" applyBorder="1" applyAlignment="1" applyProtection="1">
      <alignment vertical="center"/>
    </xf>
    <xf numFmtId="0" fontId="10" fillId="6" borderId="25" xfId="2" applyFont="1" applyFill="1" applyBorder="1" applyAlignment="1" applyProtection="1">
      <alignment horizontal="center" vertical="center"/>
    </xf>
    <xf numFmtId="0" fontId="10" fillId="6" borderId="32" xfId="2" applyFont="1" applyFill="1" applyBorder="1" applyAlignment="1" applyProtection="1">
      <alignment horizontal="center" vertical="center"/>
    </xf>
    <xf numFmtId="0" fontId="12" fillId="10" borderId="31" xfId="2" applyFont="1" applyFill="1" applyBorder="1" applyAlignment="1" applyProtection="1">
      <alignment horizontal="left" vertical="center" wrapText="1"/>
    </xf>
    <xf numFmtId="4" fontId="3" fillId="2" borderId="69" xfId="0" applyNumberFormat="1" applyFont="1" applyFill="1" applyBorder="1" applyAlignment="1" applyProtection="1">
      <alignment vertical="center"/>
    </xf>
    <xf numFmtId="4" fontId="12" fillId="5" borderId="31" xfId="2" applyNumberFormat="1" applyFont="1" applyFill="1" applyBorder="1" applyAlignment="1" applyProtection="1">
      <alignment horizontal="right" vertical="center"/>
      <protection locked="0"/>
    </xf>
    <xf numFmtId="4" fontId="3" fillId="2" borderId="33" xfId="0" applyNumberFormat="1" applyFont="1" applyFill="1" applyBorder="1" applyAlignment="1" applyProtection="1">
      <alignment vertical="center"/>
    </xf>
    <xf numFmtId="4" fontId="12" fillId="5" borderId="35" xfId="2" applyNumberFormat="1" applyFont="1" applyFill="1" applyBorder="1" applyAlignment="1" applyProtection="1">
      <alignment horizontal="right" vertical="center"/>
    </xf>
    <xf numFmtId="4" fontId="3" fillId="2" borderId="31" xfId="0" applyNumberFormat="1" applyFont="1" applyFill="1" applyBorder="1" applyAlignment="1" applyProtection="1">
      <alignment vertical="center"/>
    </xf>
    <xf numFmtId="0" fontId="9" fillId="2" borderId="64" xfId="2" applyFont="1" applyFill="1" applyBorder="1" applyAlignment="1" applyProtection="1">
      <alignment horizontal="left" vertical="center" wrapText="1"/>
    </xf>
    <xf numFmtId="4" fontId="11" fillId="2" borderId="28" xfId="0" applyNumberFormat="1" applyFont="1" applyFill="1" applyBorder="1" applyAlignment="1" applyProtection="1">
      <alignment vertical="center"/>
    </xf>
    <xf numFmtId="4" fontId="11" fillId="2" borderId="46" xfId="0" applyNumberFormat="1" applyFont="1" applyFill="1" applyBorder="1" applyAlignment="1" applyProtection="1">
      <alignment vertical="center"/>
    </xf>
    <xf numFmtId="49" fontId="10" fillId="7" borderId="7" xfId="2" applyNumberFormat="1" applyFont="1" applyFill="1" applyBorder="1" applyAlignment="1" applyProtection="1">
      <alignment horizontal="center" vertical="center"/>
    </xf>
    <xf numFmtId="0" fontId="8" fillId="7" borderId="41" xfId="2" applyFont="1" applyFill="1" applyBorder="1" applyAlignment="1" applyProtection="1">
      <alignment vertical="center" wrapText="1"/>
    </xf>
    <xf numFmtId="4" fontId="9" fillId="8" borderId="39" xfId="0" applyNumberFormat="1" applyFont="1" applyFill="1" applyBorder="1" applyAlignment="1" applyProtection="1">
      <alignment vertical="center"/>
    </xf>
    <xf numFmtId="4" fontId="9" fillId="8" borderId="26" xfId="2" applyNumberFormat="1" applyFont="1" applyFill="1" applyBorder="1" applyAlignment="1" applyProtection="1">
      <alignment horizontal="right" vertical="center"/>
      <protection locked="0"/>
    </xf>
    <xf numFmtId="4" fontId="9" fillId="8" borderId="67" xfId="0" applyNumberFormat="1" applyFont="1" applyFill="1" applyBorder="1" applyAlignment="1" applyProtection="1">
      <alignment vertical="center"/>
    </xf>
    <xf numFmtId="4" fontId="9" fillId="8" borderId="40" xfId="0" applyNumberFormat="1" applyFont="1" applyFill="1" applyBorder="1" applyAlignment="1" applyProtection="1">
      <alignment vertical="center"/>
    </xf>
    <xf numFmtId="0" fontId="14" fillId="2" borderId="0" xfId="0" applyFont="1" applyFill="1" applyAlignment="1" applyProtection="1">
      <alignment vertical="center"/>
    </xf>
    <xf numFmtId="0" fontId="12" fillId="9" borderId="24" xfId="2" applyFont="1" applyFill="1" applyBorder="1" applyAlignment="1" applyProtection="1">
      <alignment vertical="center" wrapText="1"/>
    </xf>
    <xf numFmtId="49" fontId="10" fillId="6" borderId="25" xfId="2" applyNumberFormat="1" applyFont="1" applyFill="1" applyBorder="1" applyAlignment="1" applyProtection="1">
      <alignment horizontal="center" vertical="center"/>
    </xf>
    <xf numFmtId="49" fontId="10" fillId="6" borderId="34" xfId="2" applyNumberFormat="1" applyFont="1" applyFill="1" applyBorder="1" applyAlignment="1" applyProtection="1">
      <alignment horizontal="center" vertical="center"/>
    </xf>
    <xf numFmtId="0" fontId="12" fillId="9" borderId="66" xfId="2" applyFont="1" applyFill="1" applyBorder="1" applyAlignment="1" applyProtection="1">
      <alignment vertical="center" wrapText="1"/>
    </xf>
    <xf numFmtId="4" fontId="3" fillId="2" borderId="70" xfId="0" applyNumberFormat="1" applyFont="1" applyFill="1" applyBorder="1" applyAlignment="1" applyProtection="1">
      <alignment vertical="center"/>
    </xf>
    <xf numFmtId="4" fontId="12" fillId="5" borderId="35" xfId="2" applyNumberFormat="1" applyFont="1" applyFill="1" applyBorder="1" applyAlignment="1" applyProtection="1">
      <alignment horizontal="right" vertical="center"/>
      <protection locked="0"/>
    </xf>
    <xf numFmtId="4" fontId="12" fillId="5" borderId="66" xfId="2" applyNumberFormat="1" applyFont="1" applyFill="1" applyBorder="1" applyAlignment="1" applyProtection="1">
      <alignment horizontal="right" vertical="center"/>
      <protection locked="0"/>
    </xf>
    <xf numFmtId="4" fontId="3" fillId="2" borderId="65" xfId="0" applyNumberFormat="1" applyFont="1" applyFill="1" applyBorder="1" applyAlignment="1" applyProtection="1">
      <alignment vertical="center"/>
    </xf>
    <xf numFmtId="4" fontId="3" fillId="2" borderId="66" xfId="0" applyNumberFormat="1" applyFont="1" applyFill="1" applyBorder="1" applyAlignment="1" applyProtection="1">
      <alignment vertical="center"/>
    </xf>
    <xf numFmtId="49" fontId="10" fillId="2" borderId="7" xfId="2" applyNumberFormat="1" applyFont="1" applyFill="1" applyBorder="1" applyAlignment="1" applyProtection="1">
      <alignment horizontal="center" vertical="center"/>
    </xf>
    <xf numFmtId="0" fontId="9" fillId="11" borderId="38" xfId="2" applyFont="1" applyFill="1" applyBorder="1" applyAlignment="1" applyProtection="1">
      <alignment horizontal="left" vertical="center" wrapText="1"/>
    </xf>
    <xf numFmtId="4" fontId="9" fillId="5" borderId="40" xfId="2" applyNumberFormat="1" applyFont="1" applyFill="1" applyBorder="1" applyAlignment="1" applyProtection="1">
      <alignment horizontal="right" vertical="center"/>
    </xf>
    <xf numFmtId="4" fontId="11" fillId="2" borderId="41" xfId="0" applyNumberFormat="1" applyFont="1" applyFill="1" applyBorder="1" applyAlignment="1" applyProtection="1">
      <alignment vertical="center"/>
    </xf>
    <xf numFmtId="0" fontId="9" fillId="11" borderId="44" xfId="2" applyFont="1" applyFill="1" applyBorder="1" applyAlignment="1" applyProtection="1">
      <alignment horizontal="left" vertical="center" wrapText="1"/>
    </xf>
    <xf numFmtId="0" fontId="9" fillId="6" borderId="44" xfId="2" applyFont="1" applyFill="1" applyBorder="1" applyAlignment="1" applyProtection="1">
      <alignment horizontal="left" vertical="center" wrapText="1"/>
    </xf>
    <xf numFmtId="0" fontId="9" fillId="6" borderId="26" xfId="2" applyFont="1" applyFill="1" applyBorder="1" applyAlignment="1" applyProtection="1">
      <alignment horizontal="left" vertical="center" wrapText="1"/>
    </xf>
    <xf numFmtId="4" fontId="11" fillId="6" borderId="25" xfId="0" applyNumberFormat="1" applyFont="1" applyFill="1" applyBorder="1" applyAlignment="1" applyProtection="1">
      <alignment vertical="center"/>
    </xf>
    <xf numFmtId="0" fontId="9" fillId="2" borderId="44" xfId="2" applyFont="1" applyFill="1" applyBorder="1" applyAlignment="1" applyProtection="1">
      <alignment horizontal="justify" vertical="center" wrapText="1"/>
    </xf>
    <xf numFmtId="4" fontId="9" fillId="5" borderId="26" xfId="2" applyNumberFormat="1" applyFont="1" applyFill="1" applyBorder="1" applyAlignment="1" applyProtection="1">
      <alignment horizontal="right" vertical="center"/>
    </xf>
    <xf numFmtId="4" fontId="9" fillId="5" borderId="24" xfId="2" applyNumberFormat="1" applyFont="1" applyFill="1" applyBorder="1" applyAlignment="1" applyProtection="1">
      <alignment horizontal="right" vertical="center"/>
    </xf>
    <xf numFmtId="4" fontId="9" fillId="5" borderId="25" xfId="2" applyNumberFormat="1" applyFont="1" applyFill="1" applyBorder="1" applyAlignment="1" applyProtection="1">
      <alignment horizontal="right" vertical="center"/>
      <protection locked="0"/>
    </xf>
    <xf numFmtId="4" fontId="9" fillId="5" borderId="27" xfId="2" applyNumberFormat="1" applyFont="1" applyFill="1" applyBorder="1" applyAlignment="1" applyProtection="1">
      <alignment horizontal="right" vertical="center"/>
      <protection locked="0"/>
    </xf>
    <xf numFmtId="0" fontId="0" fillId="6" borderId="0" xfId="0" applyFont="1" applyFill="1" applyAlignment="1" applyProtection="1">
      <alignment vertical="center"/>
    </xf>
    <xf numFmtId="0" fontId="9" fillId="6" borderId="44" xfId="2" applyFont="1" applyFill="1" applyBorder="1" applyAlignment="1" applyProtection="1">
      <alignment vertical="center" wrapText="1"/>
    </xf>
    <xf numFmtId="4" fontId="9" fillId="6" borderId="24" xfId="2" applyNumberFormat="1" applyFont="1" applyFill="1" applyBorder="1" applyAlignment="1" applyProtection="1">
      <alignment horizontal="right" vertical="center"/>
      <protection locked="0"/>
    </xf>
    <xf numFmtId="4" fontId="9" fillId="6" borderId="27" xfId="2" applyNumberFormat="1" applyFont="1" applyFill="1" applyBorder="1" applyAlignment="1" applyProtection="1">
      <alignment horizontal="right" vertical="center"/>
    </xf>
    <xf numFmtId="4" fontId="11" fillId="6" borderId="26" xfId="0" applyNumberFormat="1" applyFont="1" applyFill="1" applyBorder="1" applyAlignment="1" applyProtection="1">
      <alignment vertical="center"/>
    </xf>
    <xf numFmtId="4" fontId="11" fillId="6" borderId="24" xfId="0" applyNumberFormat="1" applyFont="1" applyFill="1" applyBorder="1" applyAlignment="1" applyProtection="1">
      <alignment vertical="center"/>
    </xf>
    <xf numFmtId="0" fontId="9" fillId="2" borderId="44" xfId="2" applyFont="1" applyFill="1" applyBorder="1" applyAlignment="1" applyProtection="1">
      <alignment vertical="center" wrapText="1"/>
    </xf>
    <xf numFmtId="0" fontId="15" fillId="2" borderId="0" xfId="0" applyFont="1" applyFill="1" applyAlignment="1" applyProtection="1">
      <alignment vertical="center"/>
    </xf>
    <xf numFmtId="49" fontId="12" fillId="12" borderId="71" xfId="2" applyNumberFormat="1" applyFont="1" applyFill="1" applyBorder="1" applyAlignment="1" applyProtection="1">
      <alignment horizontal="center" vertical="center"/>
    </xf>
    <xf numFmtId="0" fontId="8" fillId="12" borderId="72" xfId="2" applyFont="1" applyFill="1" applyBorder="1" applyAlignment="1" applyProtection="1">
      <alignment horizontal="right" vertical="center" wrapText="1"/>
    </xf>
    <xf numFmtId="4" fontId="8" fillId="12" borderId="71" xfId="2" applyNumberFormat="1" applyFont="1" applyFill="1" applyBorder="1" applyAlignment="1" applyProtection="1">
      <alignment horizontal="right" vertical="center"/>
    </xf>
    <xf numFmtId="4" fontId="8" fillId="12" borderId="73" xfId="2" applyNumberFormat="1" applyFont="1" applyFill="1" applyBorder="1" applyAlignment="1" applyProtection="1">
      <alignment horizontal="right" vertical="center"/>
    </xf>
    <xf numFmtId="4" fontId="8" fillId="12" borderId="74" xfId="2" applyNumberFormat="1" applyFont="1" applyFill="1" applyBorder="1" applyAlignment="1" applyProtection="1">
      <alignment horizontal="right" vertical="center"/>
    </xf>
    <xf numFmtId="0" fontId="7" fillId="3" borderId="32" xfId="2" applyFont="1" applyFill="1" applyBorder="1" applyAlignment="1" applyProtection="1">
      <alignment horizontal="center" vertical="center" wrapText="1"/>
    </xf>
    <xf numFmtId="0" fontId="7" fillId="3" borderId="75" xfId="2" applyFont="1" applyFill="1" applyBorder="1" applyAlignment="1" applyProtection="1">
      <alignment horizontal="center" vertical="center" wrapText="1"/>
    </xf>
    <xf numFmtId="0" fontId="7" fillId="3" borderId="34" xfId="2" applyFont="1" applyFill="1" applyBorder="1" applyAlignment="1" applyProtection="1">
      <alignment horizontal="center" vertical="center" wrapText="1"/>
    </xf>
    <xf numFmtId="0" fontId="7" fillId="3" borderId="65" xfId="0" applyFont="1" applyFill="1" applyBorder="1" applyAlignment="1" applyProtection="1">
      <alignment horizontal="center" vertical="center"/>
    </xf>
    <xf numFmtId="0" fontId="7" fillId="3" borderId="66" xfId="0" applyFont="1" applyFill="1" applyBorder="1" applyAlignment="1" applyProtection="1">
      <alignment horizontal="center" vertical="center"/>
    </xf>
    <xf numFmtId="0" fontId="7" fillId="3" borderId="65" xfId="2" applyFont="1" applyFill="1" applyBorder="1" applyAlignment="1" applyProtection="1">
      <alignment horizontal="center" vertical="center" wrapText="1"/>
    </xf>
    <xf numFmtId="0" fontId="7" fillId="3" borderId="66" xfId="2" applyFont="1" applyFill="1" applyBorder="1" applyAlignment="1" applyProtection="1">
      <alignment horizontal="center" vertical="center"/>
    </xf>
    <xf numFmtId="0" fontId="9" fillId="2" borderId="38" xfId="2" applyFont="1" applyFill="1" applyBorder="1" applyAlignment="1" applyProtection="1">
      <alignment horizontal="left" vertical="center" wrapText="1"/>
    </xf>
    <xf numFmtId="4" fontId="9" fillId="5" borderId="38" xfId="2" applyNumberFormat="1" applyFont="1" applyFill="1" applyBorder="1" applyAlignment="1" applyProtection="1">
      <alignment horizontal="right" vertical="center"/>
      <protection locked="0"/>
    </xf>
    <xf numFmtId="4" fontId="9" fillId="5" borderId="10" xfId="2" applyNumberFormat="1" applyFont="1" applyFill="1" applyBorder="1" applyAlignment="1" applyProtection="1">
      <alignment horizontal="right" vertical="center"/>
    </xf>
    <xf numFmtId="4" fontId="9" fillId="5" borderId="44" xfId="2" applyNumberFormat="1" applyFont="1" applyFill="1" applyBorder="1" applyAlignment="1" applyProtection="1">
      <alignment horizontal="right" vertical="center"/>
      <protection locked="0"/>
    </xf>
    <xf numFmtId="49" fontId="10" fillId="2" borderId="12" xfId="2" applyNumberFormat="1" applyFont="1" applyFill="1" applyBorder="1" applyAlignment="1" applyProtection="1">
      <alignment horizontal="center" vertical="center"/>
    </xf>
    <xf numFmtId="0" fontId="9" fillId="2" borderId="76" xfId="2" applyFont="1" applyFill="1" applyBorder="1" applyAlignment="1" applyProtection="1">
      <alignment horizontal="left" vertical="center" wrapText="1"/>
    </xf>
    <xf numFmtId="4" fontId="9" fillId="5" borderId="50" xfId="2" applyNumberFormat="1" applyFont="1" applyFill="1" applyBorder="1" applyAlignment="1" applyProtection="1">
      <alignment horizontal="right" vertical="center"/>
      <protection locked="0"/>
    </xf>
    <xf numFmtId="4" fontId="9" fillId="5" borderId="76" xfId="2" applyNumberFormat="1" applyFont="1" applyFill="1" applyBorder="1" applyAlignment="1" applyProtection="1">
      <alignment horizontal="right" vertical="center"/>
      <protection locked="0"/>
    </xf>
    <xf numFmtId="4" fontId="11" fillId="2" borderId="12" xfId="0" applyNumberFormat="1" applyFont="1" applyFill="1" applyBorder="1" applyAlignment="1" applyProtection="1">
      <alignment vertical="center"/>
    </xf>
    <xf numFmtId="0" fontId="0" fillId="0" borderId="0" xfId="0" applyFont="1" applyFill="1" applyAlignment="1" applyProtection="1">
      <alignment vertical="center"/>
    </xf>
    <xf numFmtId="49" fontId="12" fillId="0" borderId="77" xfId="2" applyNumberFormat="1" applyFont="1" applyFill="1" applyBorder="1" applyAlignment="1" applyProtection="1">
      <alignment horizontal="center" vertical="center"/>
    </xf>
    <xf numFmtId="49" fontId="12" fillId="0" borderId="78" xfId="2" applyNumberFormat="1" applyFont="1" applyFill="1" applyBorder="1" applyAlignment="1" applyProtection="1">
      <alignment horizontal="center" vertical="center"/>
    </xf>
    <xf numFmtId="0" fontId="7" fillId="3" borderId="78" xfId="2" applyFont="1" applyFill="1" applyBorder="1" applyAlignment="1" applyProtection="1">
      <alignment horizontal="center" vertical="center" wrapText="1"/>
    </xf>
    <xf numFmtId="0" fontId="7" fillId="3" borderId="79" xfId="2" applyFont="1" applyFill="1" applyBorder="1" applyAlignment="1" applyProtection="1">
      <alignment horizontal="center" vertical="center" wrapText="1"/>
    </xf>
    <xf numFmtId="0" fontId="16" fillId="2" borderId="1" xfId="2" applyFont="1" applyFill="1" applyBorder="1" applyAlignment="1" applyProtection="1">
      <alignment horizontal="center" vertical="center"/>
    </xf>
    <xf numFmtId="0" fontId="16" fillId="2" borderId="2" xfId="2" applyFont="1" applyFill="1" applyBorder="1" applyAlignment="1" applyProtection="1">
      <alignment horizontal="center" vertical="center"/>
    </xf>
    <xf numFmtId="0" fontId="16" fillId="2" borderId="3" xfId="2" applyFont="1" applyFill="1" applyBorder="1" applyAlignment="1" applyProtection="1">
      <alignment horizontal="center" vertical="center"/>
    </xf>
    <xf numFmtId="49" fontId="12" fillId="0" borderId="77" xfId="2" applyNumberFormat="1" applyFont="1" applyFill="1" applyBorder="1" applyAlignment="1" applyProtection="1">
      <alignment horizontal="center" vertical="center"/>
    </xf>
    <xf numFmtId="0" fontId="17" fillId="0" borderId="77" xfId="2" applyFont="1" applyFill="1" applyBorder="1" applyAlignment="1" applyProtection="1">
      <alignment horizontal="right" vertical="center" wrapText="1"/>
    </xf>
    <xf numFmtId="0" fontId="17" fillId="0" borderId="78" xfId="2" applyFont="1" applyFill="1" applyBorder="1" applyAlignment="1" applyProtection="1">
      <alignment horizontal="right" vertical="center" wrapText="1"/>
    </xf>
    <xf numFmtId="4" fontId="8" fillId="0" borderId="77" xfId="2" applyNumberFormat="1" applyFont="1" applyFill="1" applyBorder="1" applyAlignment="1" applyProtection="1">
      <alignment horizontal="center" vertical="center"/>
      <protection locked="0"/>
    </xf>
    <xf numFmtId="4" fontId="8" fillId="0" borderId="79" xfId="2" applyNumberFormat="1" applyFont="1" applyFill="1" applyBorder="1" applyAlignment="1" applyProtection="1">
      <alignment horizontal="center" vertical="center"/>
      <protection locked="0"/>
    </xf>
    <xf numFmtId="0" fontId="16" fillId="2" borderId="80" xfId="2" applyFont="1" applyFill="1" applyBorder="1" applyAlignment="1" applyProtection="1">
      <alignment horizontal="center" vertical="center"/>
    </xf>
    <xf numFmtId="0" fontId="16" fillId="2" borderId="0" xfId="2" applyFont="1" applyFill="1" applyBorder="1" applyAlignment="1" applyProtection="1">
      <alignment horizontal="center" vertical="center"/>
    </xf>
    <xf numFmtId="0" fontId="16" fillId="2" borderId="81" xfId="2" applyFont="1" applyFill="1" applyBorder="1" applyAlignment="1" applyProtection="1">
      <alignment horizontal="center" vertical="center"/>
    </xf>
    <xf numFmtId="0" fontId="17" fillId="0" borderId="79" xfId="2" applyFont="1" applyFill="1" applyBorder="1" applyAlignment="1" applyProtection="1">
      <alignment horizontal="right" vertical="center" wrapText="1"/>
    </xf>
    <xf numFmtId="0" fontId="16" fillId="2" borderId="4" xfId="2" applyFont="1" applyFill="1" applyBorder="1" applyAlignment="1" applyProtection="1">
      <alignment horizontal="center" vertical="center"/>
    </xf>
    <xf numFmtId="0" fontId="16" fillId="2" borderId="5" xfId="2" applyFont="1" applyFill="1" applyBorder="1" applyAlignment="1" applyProtection="1">
      <alignment horizontal="center" vertical="center"/>
    </xf>
    <xf numFmtId="0" fontId="16" fillId="2" borderId="6" xfId="2" applyFont="1" applyFill="1" applyBorder="1" applyAlignment="1" applyProtection="1">
      <alignment horizontal="center" vertical="center"/>
    </xf>
    <xf numFmtId="0" fontId="7" fillId="3" borderId="82" xfId="2" applyFont="1" applyFill="1" applyBorder="1" applyAlignment="1" applyProtection="1">
      <alignment horizontal="center" vertical="center" wrapText="1"/>
    </xf>
    <xf numFmtId="0" fontId="7" fillId="3" borderId="70" xfId="2" applyFont="1" applyFill="1" applyBorder="1" applyAlignment="1" applyProtection="1">
      <alignment horizontal="center" vertical="center" wrapText="1"/>
    </xf>
    <xf numFmtId="49" fontId="10" fillId="2" borderId="83" xfId="2" applyNumberFormat="1" applyFont="1" applyFill="1" applyBorder="1" applyAlignment="1" applyProtection="1">
      <alignment horizontal="center" vertical="center"/>
    </xf>
    <xf numFmtId="0" fontId="9" fillId="2" borderId="39" xfId="2" applyFont="1" applyFill="1" applyBorder="1" applyAlignment="1" applyProtection="1">
      <alignment horizontal="left" vertical="center" wrapText="1"/>
    </xf>
    <xf numFmtId="49" fontId="10" fillId="2" borderId="84" xfId="2" applyNumberFormat="1" applyFont="1" applyFill="1" applyBorder="1" applyAlignment="1" applyProtection="1">
      <alignment horizontal="center" vertical="center"/>
    </xf>
    <xf numFmtId="0" fontId="9" fillId="2" borderId="45" xfId="2" applyFont="1" applyFill="1" applyBorder="1" applyAlignment="1" applyProtection="1">
      <alignment horizontal="left" vertical="center" wrapText="1"/>
    </xf>
    <xf numFmtId="49" fontId="10" fillId="2" borderId="85" xfId="2" applyNumberFormat="1" applyFont="1" applyFill="1" applyBorder="1" applyAlignment="1" applyProtection="1">
      <alignment horizontal="center" vertical="center"/>
    </xf>
    <xf numFmtId="0" fontId="9" fillId="2" borderId="48" xfId="2" applyFont="1" applyFill="1" applyBorder="1" applyAlignment="1" applyProtection="1">
      <alignment horizontal="left" vertical="center" wrapText="1"/>
    </xf>
    <xf numFmtId="4" fontId="9" fillId="5" borderId="31" xfId="2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 applyAlignment="1" applyProtection="1">
      <alignment vertical="center"/>
    </xf>
    <xf numFmtId="0" fontId="10" fillId="12" borderId="71" xfId="2" applyFont="1" applyFill="1" applyBorder="1" applyAlignment="1" applyProtection="1">
      <alignment horizontal="right" vertical="center" wrapText="1"/>
    </xf>
    <xf numFmtId="3" fontId="16" fillId="2" borderId="0" xfId="2" applyNumberFormat="1" applyFont="1" applyFill="1" applyBorder="1" applyAlignment="1" applyProtection="1">
      <alignment vertical="center"/>
    </xf>
    <xf numFmtId="0" fontId="16" fillId="2" borderId="0" xfId="2" applyFont="1" applyFill="1" applyAlignment="1" applyProtection="1">
      <alignment vertical="center"/>
    </xf>
    <xf numFmtId="0" fontId="18" fillId="3" borderId="44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</xf>
    <xf numFmtId="4" fontId="18" fillId="3" borderId="26" xfId="0" applyNumberFormat="1" applyFont="1" applyFill="1" applyBorder="1" applyAlignment="1" applyProtection="1">
      <alignment horizontal="center" vertical="center"/>
    </xf>
    <xf numFmtId="0" fontId="16" fillId="2" borderId="0" xfId="2" applyFont="1" applyFill="1" applyBorder="1" applyAlignment="1" applyProtection="1">
      <alignment vertical="center"/>
    </xf>
    <xf numFmtId="0" fontId="19" fillId="2" borderId="26" xfId="0" applyFont="1" applyFill="1" applyBorder="1" applyAlignment="1" applyProtection="1">
      <alignment horizontal="center" vertical="center"/>
    </xf>
    <xf numFmtId="14" fontId="20" fillId="2" borderId="50" xfId="0" applyNumberFormat="1" applyFont="1" applyFill="1" applyBorder="1" applyAlignment="1" applyProtection="1">
      <alignment horizontal="center" vertical="center"/>
    </xf>
    <xf numFmtId="4" fontId="20" fillId="2" borderId="26" xfId="0" applyNumberFormat="1" applyFont="1" applyFill="1" applyBorder="1" applyAlignment="1" applyProtection="1">
      <alignment horizontal="center" vertical="center"/>
    </xf>
    <xf numFmtId="4" fontId="21" fillId="13" borderId="26" xfId="0" applyNumberFormat="1" applyFont="1" applyFill="1" applyBorder="1" applyAlignment="1" applyProtection="1">
      <alignment horizontal="center" vertical="center"/>
    </xf>
    <xf numFmtId="0" fontId="19" fillId="2" borderId="26" xfId="0" quotePrefix="1" applyFont="1" applyFill="1" applyBorder="1" applyAlignment="1" applyProtection="1">
      <alignment horizontal="center" vertical="center"/>
    </xf>
    <xf numFmtId="14" fontId="20" fillId="2" borderId="15" xfId="0" applyNumberFormat="1" applyFont="1" applyFill="1" applyBorder="1" applyAlignment="1" applyProtection="1">
      <alignment horizontal="center" vertical="center"/>
    </xf>
    <xf numFmtId="4" fontId="20" fillId="2" borderId="26" xfId="0" quotePrefix="1" applyNumberFormat="1" applyFont="1" applyFill="1" applyBorder="1" applyAlignment="1" applyProtection="1">
      <alignment horizontal="center" vertical="center"/>
    </xf>
    <xf numFmtId="4" fontId="21" fillId="13" borderId="26" xfId="0" quotePrefix="1" applyNumberFormat="1" applyFont="1" applyFill="1" applyBorder="1" applyAlignment="1" applyProtection="1">
      <alignment horizontal="center" vertical="center"/>
    </xf>
    <xf numFmtId="0" fontId="19" fillId="2" borderId="86" xfId="0" quotePrefix="1" applyFont="1" applyFill="1" applyBorder="1" applyAlignment="1" applyProtection="1">
      <alignment horizontal="center" vertical="center"/>
    </xf>
    <xf numFmtId="0" fontId="19" fillId="2" borderId="86" xfId="0" applyFont="1" applyFill="1" applyBorder="1" applyAlignment="1" applyProtection="1">
      <alignment horizontal="center" vertical="center"/>
    </xf>
    <xf numFmtId="4" fontId="19" fillId="12" borderId="86" xfId="0" quotePrefix="1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 applyProtection="1">
      <alignment horizontal="center" vertical="center"/>
    </xf>
    <xf numFmtId="0" fontId="22" fillId="2" borderId="0" xfId="0" applyFont="1" applyFill="1" applyAlignment="1" applyProtection="1">
      <alignment vertical="center"/>
    </xf>
    <xf numFmtId="0" fontId="23" fillId="2" borderId="0" xfId="0" applyFont="1" applyFill="1" applyAlignment="1" applyProtection="1">
      <alignment horizontal="right" vertical="center"/>
    </xf>
    <xf numFmtId="0" fontId="13" fillId="2" borderId="0" xfId="0" applyFont="1" applyFill="1" applyAlignment="1" applyProtection="1">
      <alignment horizontal="center" vertical="center"/>
    </xf>
    <xf numFmtId="49" fontId="24" fillId="2" borderId="0" xfId="0" applyNumberFormat="1" applyFont="1" applyFill="1" applyAlignment="1" applyProtection="1">
      <alignment vertical="center" wrapText="1"/>
    </xf>
    <xf numFmtId="0" fontId="25" fillId="2" borderId="0" xfId="2" quotePrefix="1" applyFont="1" applyFill="1" applyAlignment="1" applyProtection="1">
      <alignment horizontal="left" vertical="center"/>
    </xf>
    <xf numFmtId="0" fontId="25" fillId="2" borderId="0" xfId="2" applyFont="1" applyFill="1" applyAlignment="1" applyProtection="1">
      <alignment vertical="center"/>
    </xf>
    <xf numFmtId="0" fontId="25" fillId="2" borderId="0" xfId="2" quotePrefix="1" applyFont="1" applyFill="1" applyAlignment="1" applyProtection="1">
      <alignment horizontal="center" vertical="center"/>
    </xf>
    <xf numFmtId="0" fontId="12" fillId="2" borderId="0" xfId="2" applyFont="1" applyFill="1" applyAlignment="1" applyProtection="1">
      <alignment horizontal="center" vertical="center"/>
    </xf>
    <xf numFmtId="0" fontId="16" fillId="2" borderId="0" xfId="2" applyFont="1" applyFill="1" applyAlignment="1" applyProtection="1">
      <alignment vertical="center" wrapText="1"/>
    </xf>
    <xf numFmtId="0" fontId="9" fillId="6" borderId="24" xfId="2" applyFont="1" applyFill="1" applyBorder="1" applyAlignment="1" applyProtection="1">
      <alignment horizontal="left" vertical="center" wrapText="1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1998134</xdr:colOff>
      <xdr:row>3</xdr:row>
      <xdr:rowOff>27517</xdr:rowOff>
    </xdr:to>
    <xdr:pic>
      <xdr:nvPicPr>
        <xdr:cNvPr id="2" name="Imagen 1" descr="C:\Users\eliss\Downloads\Co Shi\Contabilidad Shillong\1. Modelo Julio-Base\Logo Shillong free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" t="10172" r="6481" b="13928"/>
        <a:stretch/>
      </xdr:blipFill>
      <xdr:spPr bwMode="auto">
        <a:xfrm>
          <a:off x="0" y="1"/>
          <a:ext cx="2271184" cy="6561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15875</xdr:rowOff>
    </xdr:from>
    <xdr:to>
      <xdr:col>3</xdr:col>
      <xdr:colOff>1998134</xdr:colOff>
      <xdr:row>3</xdr:row>
      <xdr:rowOff>27517</xdr:rowOff>
    </xdr:to>
    <xdr:pic>
      <xdr:nvPicPr>
        <xdr:cNvPr id="3" name="Imagen 2" descr="C:\Users\eliss\Downloads\Co Shi\Contabilidad Shillong\1. Modelo Julio-Base\Logo Shillong free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" t="10172" r="6481" b="13928"/>
        <a:stretch/>
      </xdr:blipFill>
      <xdr:spPr bwMode="auto">
        <a:xfrm>
          <a:off x="0" y="15875"/>
          <a:ext cx="2271184" cy="6402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1998134</xdr:colOff>
      <xdr:row>3</xdr:row>
      <xdr:rowOff>27517</xdr:rowOff>
    </xdr:to>
    <xdr:pic>
      <xdr:nvPicPr>
        <xdr:cNvPr id="4" name="Imagen 3" descr="C:\Users\eliss\Downloads\Co Shi\Contabilidad Shillong\1. Modelo Julio-Base\Logo Shillong free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" t="10172" r="6481" b="13928"/>
        <a:stretch/>
      </xdr:blipFill>
      <xdr:spPr bwMode="auto">
        <a:xfrm>
          <a:off x="0" y="1"/>
          <a:ext cx="2271184" cy="6561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15875</xdr:rowOff>
    </xdr:from>
    <xdr:to>
      <xdr:col>3</xdr:col>
      <xdr:colOff>1998134</xdr:colOff>
      <xdr:row>3</xdr:row>
      <xdr:rowOff>27517</xdr:rowOff>
    </xdr:to>
    <xdr:pic>
      <xdr:nvPicPr>
        <xdr:cNvPr id="5" name="Imagen 4" descr="C:\Users\eliss\Downloads\Co Shi\Contabilidad Shillong\1. Modelo Julio-Base\Logo Shillong free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4" t="10172" r="6481" b="13928"/>
        <a:stretch/>
      </xdr:blipFill>
      <xdr:spPr bwMode="auto">
        <a:xfrm>
          <a:off x="0" y="15875"/>
          <a:ext cx="2271184" cy="6402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iss\Downloads\Co%20Shi\Contabilidad%20Shillong\1.%20Modelo%20Julio-Base\SHILLONG-%20Ejemp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liss\Downloads\1.%20Actual\Co%20Shi\2.%20Contabilidad%20Shillong\2.%20Account%202026\3.%20March%202026\2.%20Seguimiento%20presupuestario-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unitario"/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Octubre"/>
      <sheetName val="Noviembre"/>
      <sheetName val="Diciembre"/>
      <sheetName val="Evolutivo"/>
      <sheetName val="Enero modelo"/>
    </sheetNames>
    <sheetDataSet>
      <sheetData sheetId="0" refreshError="1">
        <row r="6">
          <cell r="A6" t="str">
            <v>COMUNIDAD DE SHILLONG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34">
          <cell r="F34">
            <v>0</v>
          </cell>
        </row>
        <row r="35">
          <cell r="F35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62">
          <cell r="F62">
            <v>0</v>
          </cell>
        </row>
        <row r="64">
          <cell r="F64">
            <v>0</v>
          </cell>
        </row>
        <row r="75">
          <cell r="F75">
            <v>0</v>
          </cell>
        </row>
        <row r="77">
          <cell r="F77">
            <v>0</v>
          </cell>
        </row>
        <row r="86">
          <cell r="F86">
            <v>0</v>
          </cell>
        </row>
        <row r="87">
          <cell r="F87">
            <v>0</v>
          </cell>
        </row>
        <row r="89">
          <cell r="F89">
            <v>0</v>
          </cell>
        </row>
        <row r="90">
          <cell r="F90">
            <v>0</v>
          </cell>
        </row>
        <row r="106">
          <cell r="B106" t="str">
            <v>Superiora</v>
          </cell>
          <cell r="C106" t="str">
            <v>Administradora</v>
          </cell>
          <cell r="F10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2026"/>
      <sheetName val="January"/>
      <sheetName val="February"/>
      <sheetName val="March"/>
      <sheetName val="Abril"/>
      <sheetName val="Hoja1"/>
    </sheetNames>
    <sheetDataSet>
      <sheetData sheetId="0">
        <row r="9">
          <cell r="F9">
            <v>68000</v>
          </cell>
        </row>
        <row r="10">
          <cell r="F10">
            <v>15000</v>
          </cell>
        </row>
        <row r="11">
          <cell r="F11">
            <v>20000</v>
          </cell>
        </row>
        <row r="12">
          <cell r="F12">
            <v>35000</v>
          </cell>
        </row>
      </sheetData>
      <sheetData sheetId="1">
        <row r="9">
          <cell r="I9">
            <v>10734</v>
          </cell>
        </row>
      </sheetData>
      <sheetData sheetId="2">
        <row r="9">
          <cell r="I9">
            <v>11689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19"/>
  <sheetViews>
    <sheetView tabSelected="1" topLeftCell="C1" workbookViewId="0">
      <selection activeCell="D33" sqref="D33"/>
    </sheetView>
  </sheetViews>
  <sheetFormatPr baseColWidth="10" defaultColWidth="12" defaultRowHeight="17.5" x14ac:dyDescent="0.35"/>
  <cols>
    <col min="1" max="1" width="0" style="3" hidden="1" customWidth="1"/>
    <col min="2" max="2" width="8.54296875" style="3" hidden="1" customWidth="1"/>
    <col min="3" max="3" width="13.7265625" style="1" customWidth="1"/>
    <col min="4" max="4" width="60.453125" style="2" customWidth="1"/>
    <col min="5" max="5" width="16.26953125" style="3" customWidth="1"/>
    <col min="6" max="6" width="16" style="3" customWidth="1"/>
    <col min="7" max="7" width="16.6328125" style="3" customWidth="1"/>
    <col min="8" max="11" width="19.6328125" style="3" customWidth="1"/>
    <col min="12" max="12" width="4.36328125" style="3" customWidth="1"/>
    <col min="13" max="16384" width="12" style="3"/>
  </cols>
  <sheetData>
    <row r="3" spans="3:13" ht="18" thickBot="1" x14ac:dyDescent="0.4"/>
    <row r="4" spans="3:13" ht="20.25" customHeight="1" x14ac:dyDescent="0.35">
      <c r="C4" s="4" t="str">
        <f>+CONCATENATE("CUENTAS DE ",[1]Comunitario!$A$6)</f>
        <v>CUENTAS DE COMUNIDAD DE SHILLONG</v>
      </c>
      <c r="D4" s="5"/>
      <c r="E4" s="5"/>
      <c r="F4" s="6" t="s">
        <v>0</v>
      </c>
      <c r="G4" s="7">
        <v>46053</v>
      </c>
      <c r="H4" s="7"/>
      <c r="I4" s="8"/>
      <c r="J4" s="8"/>
      <c r="K4" s="9"/>
    </row>
    <row r="5" spans="3:13" ht="17.25" customHeight="1" thickBot="1" x14ac:dyDescent="0.4">
      <c r="C5" s="10"/>
      <c r="D5" s="11"/>
      <c r="E5" s="11"/>
      <c r="F5" s="12"/>
      <c r="G5" s="13"/>
      <c r="H5" s="13"/>
      <c r="I5" s="14"/>
      <c r="J5" s="14"/>
      <c r="K5" s="15"/>
    </row>
    <row r="6" spans="3:13" s="23" customFormat="1" ht="21" customHeight="1" x14ac:dyDescent="0.35">
      <c r="C6" s="16" t="s">
        <v>1</v>
      </c>
      <c r="D6" s="17" t="s">
        <v>2</v>
      </c>
      <c r="E6" s="18" t="s">
        <v>3</v>
      </c>
      <c r="F6" s="19" t="s">
        <v>4</v>
      </c>
      <c r="G6" s="20" t="s">
        <v>5</v>
      </c>
      <c r="H6" s="18" t="s">
        <v>6</v>
      </c>
      <c r="I6" s="21" t="s">
        <v>7</v>
      </c>
      <c r="J6" s="21" t="s">
        <v>8</v>
      </c>
      <c r="K6" s="22" t="s">
        <v>9</v>
      </c>
    </row>
    <row r="7" spans="3:13" s="23" customFormat="1" ht="39.75" customHeight="1" thickBot="1" x14ac:dyDescent="0.4">
      <c r="C7" s="24"/>
      <c r="D7" s="25"/>
      <c r="E7" s="26"/>
      <c r="F7" s="27"/>
      <c r="G7" s="28"/>
      <c r="H7" s="26"/>
      <c r="I7" s="29"/>
      <c r="J7" s="29"/>
      <c r="K7" s="30"/>
    </row>
    <row r="8" spans="3:13" s="39" customFormat="1" ht="20.25" customHeight="1" thickBot="1" x14ac:dyDescent="0.4">
      <c r="C8" s="31" t="s">
        <v>10</v>
      </c>
      <c r="D8" s="32"/>
      <c r="E8" s="33"/>
      <c r="F8" s="34"/>
      <c r="G8" s="35"/>
      <c r="H8" s="36"/>
      <c r="I8" s="37"/>
      <c r="J8" s="37"/>
      <c r="K8" s="38"/>
    </row>
    <row r="9" spans="3:13" ht="20.25" customHeight="1" x14ac:dyDescent="0.35">
      <c r="C9" s="40" t="s">
        <v>11</v>
      </c>
      <c r="D9" s="41" t="s">
        <v>12</v>
      </c>
      <c r="E9" s="144">
        <f t="shared" ref="E9:E57" si="0">+F9+G9</f>
        <v>0</v>
      </c>
      <c r="F9" s="42"/>
      <c r="G9" s="42"/>
      <c r="H9" s="43">
        <v>0</v>
      </c>
      <c r="I9" s="44">
        <f>+E9+H9</f>
        <v>0</v>
      </c>
      <c r="J9" s="45">
        <f>+'[2]Budget 2026'!F9</f>
        <v>68000</v>
      </c>
      <c r="K9" s="46">
        <f>+J9-I9</f>
        <v>68000</v>
      </c>
      <c r="M9" s="47"/>
    </row>
    <row r="10" spans="3:13" ht="20.25" customHeight="1" x14ac:dyDescent="0.35">
      <c r="C10" s="48" t="s">
        <v>13</v>
      </c>
      <c r="D10" s="49" t="s">
        <v>14</v>
      </c>
      <c r="E10" s="144">
        <f t="shared" si="0"/>
        <v>0</v>
      </c>
      <c r="F10" s="51"/>
      <c r="G10" s="51"/>
      <c r="H10" s="52">
        <v>0</v>
      </c>
      <c r="I10" s="53">
        <f>+E10+H10</f>
        <v>0</v>
      </c>
      <c r="J10" s="54">
        <f>+'[2]Budget 2026'!F10</f>
        <v>15000</v>
      </c>
      <c r="K10" s="55">
        <f>+J10-I10</f>
        <v>15000</v>
      </c>
    </row>
    <row r="11" spans="3:13" ht="20.25" customHeight="1" thickBot="1" x14ac:dyDescent="0.4">
      <c r="C11" s="56" t="s">
        <v>15</v>
      </c>
      <c r="D11" s="57" t="s">
        <v>16</v>
      </c>
      <c r="E11" s="144">
        <f t="shared" si="0"/>
        <v>0</v>
      </c>
      <c r="F11" s="59"/>
      <c r="G11" s="58">
        <v>0</v>
      </c>
      <c r="H11" s="60">
        <v>0</v>
      </c>
      <c r="I11" s="61">
        <f>+E11+H11</f>
        <v>0</v>
      </c>
      <c r="J11" s="62">
        <f>+'[2]Budget 2026'!F11</f>
        <v>20000</v>
      </c>
      <c r="K11" s="63">
        <f t="shared" ref="K11:K60" si="1">+J11-I11</f>
        <v>20000</v>
      </c>
    </row>
    <row r="12" spans="3:13" ht="20.25" customHeight="1" thickBot="1" x14ac:dyDescent="0.4">
      <c r="C12" s="64" t="s">
        <v>17</v>
      </c>
      <c r="D12" s="65" t="s">
        <v>18</v>
      </c>
      <c r="E12" s="66">
        <f>SUM(E13:E16)</f>
        <v>0</v>
      </c>
      <c r="F12" s="67">
        <f>SUM(F13:F16)</f>
        <v>0</v>
      </c>
      <c r="G12" s="68">
        <f>SUM(G13:G16)</f>
        <v>0</v>
      </c>
      <c r="H12" s="69">
        <f>SUM(H13:H16)</f>
        <v>0</v>
      </c>
      <c r="I12" s="70">
        <f>SUM(I13:I16)</f>
        <v>0</v>
      </c>
      <c r="J12" s="71">
        <f>+'[2]Budget 2026'!F12</f>
        <v>35000</v>
      </c>
      <c r="K12" s="72">
        <f>SUM(K13:K16)</f>
        <v>0</v>
      </c>
    </row>
    <row r="13" spans="3:13" ht="20.25" customHeight="1" x14ac:dyDescent="0.35">
      <c r="C13" s="48" t="s">
        <v>19</v>
      </c>
      <c r="D13" s="73" t="s">
        <v>20</v>
      </c>
      <c r="E13" s="144">
        <f t="shared" si="0"/>
        <v>0</v>
      </c>
      <c r="F13" s="75"/>
      <c r="G13" s="76"/>
      <c r="H13" s="77">
        <v>0</v>
      </c>
      <c r="I13" s="78">
        <f>+E13+H13</f>
        <v>0</v>
      </c>
      <c r="J13" s="79">
        <f>+[1]Comunitario!F13</f>
        <v>0</v>
      </c>
      <c r="K13" s="80">
        <f>+J13-I13</f>
        <v>0</v>
      </c>
    </row>
    <row r="14" spans="3:13" ht="20.25" customHeight="1" x14ac:dyDescent="0.35">
      <c r="C14" s="48" t="s">
        <v>21</v>
      </c>
      <c r="D14" s="73" t="s">
        <v>22</v>
      </c>
      <c r="E14" s="144">
        <f t="shared" si="0"/>
        <v>0</v>
      </c>
      <c r="F14" s="75"/>
      <c r="G14" s="76"/>
      <c r="H14" s="77">
        <v>0</v>
      </c>
      <c r="I14" s="78">
        <f t="shared" ref="I14:I26" si="2">+E14+H14</f>
        <v>0</v>
      </c>
      <c r="J14" s="79">
        <f>+[1]Comunitario!F14</f>
        <v>0</v>
      </c>
      <c r="K14" s="80">
        <f t="shared" si="1"/>
        <v>0</v>
      </c>
    </row>
    <row r="15" spans="3:13" ht="20.25" customHeight="1" x14ac:dyDescent="0.35">
      <c r="C15" s="48" t="s">
        <v>23</v>
      </c>
      <c r="D15" s="73" t="s">
        <v>24</v>
      </c>
      <c r="E15" s="144">
        <f t="shared" si="0"/>
        <v>0</v>
      </c>
      <c r="F15" s="75"/>
      <c r="G15" s="76"/>
      <c r="H15" s="77">
        <v>0</v>
      </c>
      <c r="I15" s="78">
        <f t="shared" si="2"/>
        <v>0</v>
      </c>
      <c r="J15" s="79">
        <f>+[1]Comunitario!F15</f>
        <v>0</v>
      </c>
      <c r="K15" s="80">
        <f>+J15-I15</f>
        <v>0</v>
      </c>
    </row>
    <row r="16" spans="3:13" ht="20.25" customHeight="1" thickBot="1" x14ac:dyDescent="0.4">
      <c r="C16" s="56" t="s">
        <v>25</v>
      </c>
      <c r="D16" s="81" t="s">
        <v>26</v>
      </c>
      <c r="E16" s="144">
        <f t="shared" si="0"/>
        <v>0</v>
      </c>
      <c r="F16" s="82"/>
      <c r="G16" s="58"/>
      <c r="H16" s="83">
        <v>0</v>
      </c>
      <c r="I16" s="84">
        <f t="shared" si="2"/>
        <v>0</v>
      </c>
      <c r="J16" s="85">
        <f>+[1]Comunitario!F16</f>
        <v>0</v>
      </c>
      <c r="K16" s="86">
        <f t="shared" si="1"/>
        <v>0</v>
      </c>
    </row>
    <row r="17" spans="1:11" ht="20.25" customHeight="1" x14ac:dyDescent="0.35">
      <c r="C17" s="87" t="s">
        <v>27</v>
      </c>
      <c r="D17" s="88" t="s">
        <v>28</v>
      </c>
      <c r="E17" s="144">
        <f t="shared" si="0"/>
        <v>0</v>
      </c>
      <c r="F17" s="90"/>
      <c r="G17" s="91"/>
      <c r="H17" s="92">
        <v>0</v>
      </c>
      <c r="I17" s="93">
        <f t="shared" si="2"/>
        <v>0</v>
      </c>
      <c r="J17" s="94">
        <v>25000</v>
      </c>
      <c r="K17" s="95">
        <f t="shared" si="1"/>
        <v>25000</v>
      </c>
    </row>
    <row r="18" spans="1:11" ht="20.25" customHeight="1" thickBot="1" x14ac:dyDescent="0.4">
      <c r="C18" s="87" t="s">
        <v>29</v>
      </c>
      <c r="D18" s="88" t="s">
        <v>30</v>
      </c>
      <c r="E18" s="144">
        <f t="shared" si="0"/>
        <v>0</v>
      </c>
      <c r="F18" s="51"/>
      <c r="G18" s="58"/>
      <c r="H18" s="52">
        <v>0</v>
      </c>
      <c r="I18" s="53">
        <f t="shared" si="2"/>
        <v>0</v>
      </c>
      <c r="J18" s="96">
        <v>7000</v>
      </c>
      <c r="K18" s="55">
        <f t="shared" si="1"/>
        <v>7000</v>
      </c>
    </row>
    <row r="19" spans="1:11" ht="20.25" customHeight="1" x14ac:dyDescent="0.35">
      <c r="C19" s="48" t="s">
        <v>31</v>
      </c>
      <c r="D19" s="97" t="s">
        <v>32</v>
      </c>
      <c r="E19" s="144">
        <f t="shared" si="0"/>
        <v>0</v>
      </c>
      <c r="F19" s="51"/>
      <c r="G19" s="98"/>
      <c r="H19" s="52">
        <v>0</v>
      </c>
      <c r="I19" s="53">
        <f t="shared" si="2"/>
        <v>0</v>
      </c>
      <c r="J19" s="99">
        <v>400000</v>
      </c>
      <c r="K19" s="55">
        <f t="shared" si="1"/>
        <v>400000</v>
      </c>
    </row>
    <row r="20" spans="1:11" ht="20.25" customHeight="1" x14ac:dyDescent="0.35">
      <c r="B20" s="3">
        <v>6030100</v>
      </c>
      <c r="C20" s="48" t="s">
        <v>33</v>
      </c>
      <c r="D20" s="97" t="s">
        <v>34</v>
      </c>
      <c r="E20" s="144">
        <f t="shared" si="0"/>
        <v>0</v>
      </c>
      <c r="F20" s="51"/>
      <c r="G20" s="98"/>
      <c r="H20" s="52">
        <v>0</v>
      </c>
      <c r="I20" s="53">
        <f t="shared" si="2"/>
        <v>0</v>
      </c>
      <c r="J20" s="100">
        <v>15000</v>
      </c>
      <c r="K20" s="55">
        <f t="shared" si="1"/>
        <v>15000</v>
      </c>
    </row>
    <row r="21" spans="1:11" ht="20.25" customHeight="1" thickBot="1" x14ac:dyDescent="0.4">
      <c r="C21" s="101" t="s">
        <v>35</v>
      </c>
      <c r="D21" s="102" t="s">
        <v>36</v>
      </c>
      <c r="E21" s="144">
        <f t="shared" si="0"/>
        <v>0</v>
      </c>
      <c r="F21" s="103"/>
      <c r="G21" s="104"/>
      <c r="H21" s="105">
        <v>0</v>
      </c>
      <c r="I21" s="106">
        <f t="shared" si="2"/>
        <v>0</v>
      </c>
      <c r="J21" s="107">
        <v>50000</v>
      </c>
      <c r="K21" s="108">
        <f t="shared" si="1"/>
        <v>50000</v>
      </c>
    </row>
    <row r="22" spans="1:11" s="109" customFormat="1" ht="20.25" customHeight="1" x14ac:dyDescent="0.35">
      <c r="C22" s="110" t="s">
        <v>37</v>
      </c>
      <c r="D22" s="88" t="s">
        <v>38</v>
      </c>
      <c r="E22" s="144">
        <f t="shared" si="0"/>
        <v>0</v>
      </c>
      <c r="F22" s="112"/>
      <c r="G22" s="113"/>
      <c r="H22" s="52">
        <v>0</v>
      </c>
      <c r="I22" s="114">
        <f t="shared" si="2"/>
        <v>0</v>
      </c>
      <c r="J22" s="54">
        <v>80000</v>
      </c>
      <c r="K22" s="115">
        <f t="shared" si="1"/>
        <v>80000</v>
      </c>
    </row>
    <row r="23" spans="1:11" ht="20.25" customHeight="1" x14ac:dyDescent="0.35">
      <c r="A23" s="3" t="s">
        <v>39</v>
      </c>
      <c r="C23" s="116" t="s">
        <v>40</v>
      </c>
      <c r="D23" s="97" t="s">
        <v>41</v>
      </c>
      <c r="E23" s="144">
        <f t="shared" si="0"/>
        <v>0</v>
      </c>
      <c r="F23" s="51"/>
      <c r="G23" s="98"/>
      <c r="H23" s="52">
        <v>0</v>
      </c>
      <c r="I23" s="53">
        <f t="shared" si="2"/>
        <v>0</v>
      </c>
      <c r="J23" s="54">
        <v>60000</v>
      </c>
      <c r="K23" s="117">
        <f t="shared" si="1"/>
        <v>60000</v>
      </c>
    </row>
    <row r="24" spans="1:11" ht="20.25" customHeight="1" x14ac:dyDescent="0.35">
      <c r="C24" s="116" t="s">
        <v>42</v>
      </c>
      <c r="D24" s="97" t="s">
        <v>43</v>
      </c>
      <c r="E24" s="144">
        <f t="shared" si="0"/>
        <v>0</v>
      </c>
      <c r="F24" s="51"/>
      <c r="G24" s="98"/>
      <c r="H24" s="52">
        <v>0</v>
      </c>
      <c r="I24" s="53">
        <f t="shared" si="2"/>
        <v>0</v>
      </c>
      <c r="J24" s="54"/>
      <c r="K24" s="117">
        <f t="shared" si="1"/>
        <v>0</v>
      </c>
    </row>
    <row r="25" spans="1:11" ht="20.25" customHeight="1" x14ac:dyDescent="0.35">
      <c r="C25" s="118" t="s">
        <v>44</v>
      </c>
      <c r="D25" s="97" t="s">
        <v>45</v>
      </c>
      <c r="E25" s="144">
        <f t="shared" si="0"/>
        <v>0</v>
      </c>
      <c r="F25" s="51"/>
      <c r="G25" s="98"/>
      <c r="H25" s="52">
        <v>0</v>
      </c>
      <c r="I25" s="53">
        <f t="shared" si="2"/>
        <v>0</v>
      </c>
      <c r="J25" s="54">
        <v>1000</v>
      </c>
      <c r="K25" s="117">
        <f t="shared" si="1"/>
        <v>1000</v>
      </c>
    </row>
    <row r="26" spans="1:11" ht="20.25" customHeight="1" thickBot="1" x14ac:dyDescent="0.4">
      <c r="C26" s="119" t="s">
        <v>46</v>
      </c>
      <c r="D26" s="120" t="s">
        <v>47</v>
      </c>
      <c r="E26" s="144">
        <f t="shared" si="0"/>
        <v>0</v>
      </c>
      <c r="F26" s="122"/>
      <c r="G26" s="123"/>
      <c r="H26" s="60">
        <v>0</v>
      </c>
      <c r="I26" s="124">
        <f t="shared" si="2"/>
        <v>0</v>
      </c>
      <c r="J26" s="62">
        <v>30000</v>
      </c>
      <c r="K26" s="125">
        <f t="shared" si="1"/>
        <v>30000</v>
      </c>
    </row>
    <row r="27" spans="1:11" ht="20.25" customHeight="1" x14ac:dyDescent="0.35">
      <c r="C27" s="126" t="s">
        <v>48</v>
      </c>
      <c r="D27" s="127" t="s">
        <v>49</v>
      </c>
      <c r="E27" s="128">
        <f>SUM(E28:E30)</f>
        <v>0</v>
      </c>
      <c r="F27" s="67">
        <f>SUM(F28:F30)</f>
        <v>0</v>
      </c>
      <c r="G27" s="68">
        <f>SUM(G28:G30)</f>
        <v>0</v>
      </c>
      <c r="H27" s="129">
        <f>SUM(H28:H30)</f>
        <v>0</v>
      </c>
      <c r="I27" s="67">
        <f>SUM(I28:I30)</f>
        <v>0</v>
      </c>
      <c r="J27" s="130">
        <v>60000</v>
      </c>
      <c r="K27" s="68">
        <f>SUM(K28:K30)</f>
        <v>60000</v>
      </c>
    </row>
    <row r="28" spans="1:11" ht="20.25" customHeight="1" x14ac:dyDescent="0.35">
      <c r="B28" s="3">
        <v>6291050</v>
      </c>
      <c r="C28" s="131" t="s">
        <v>50</v>
      </c>
      <c r="D28" s="132" t="s">
        <v>51</v>
      </c>
      <c r="E28" s="133">
        <f>+F28+G28</f>
        <v>0</v>
      </c>
      <c r="F28" s="75"/>
      <c r="G28" s="76"/>
      <c r="H28" s="78">
        <v>0</v>
      </c>
      <c r="I28" s="78">
        <f>+E28+H28</f>
        <v>0</v>
      </c>
      <c r="J28" s="79">
        <f>+[1]Comunitario!F34</f>
        <v>0</v>
      </c>
      <c r="K28" s="134">
        <f t="shared" si="1"/>
        <v>0</v>
      </c>
    </row>
    <row r="29" spans="1:11" ht="20.25" customHeight="1" x14ac:dyDescent="0.35">
      <c r="C29" s="135" t="s">
        <v>52</v>
      </c>
      <c r="D29" s="132" t="s">
        <v>53</v>
      </c>
      <c r="E29" s="133">
        <f t="shared" si="0"/>
        <v>0</v>
      </c>
      <c r="F29" s="75"/>
      <c r="G29" s="76"/>
      <c r="H29" s="78">
        <v>0</v>
      </c>
      <c r="I29" s="78">
        <f t="shared" ref="I29:I34" si="3">+E29+H29</f>
        <v>0</v>
      </c>
      <c r="J29" s="79">
        <f>+[1]Comunitario!F35</f>
        <v>0</v>
      </c>
      <c r="K29" s="134">
        <f t="shared" si="1"/>
        <v>0</v>
      </c>
    </row>
    <row r="30" spans="1:11" ht="20.25" customHeight="1" thickBot="1" x14ac:dyDescent="0.4">
      <c r="C30" s="136" t="s">
        <v>54</v>
      </c>
      <c r="D30" s="137" t="s">
        <v>55</v>
      </c>
      <c r="E30" s="138">
        <f t="shared" si="0"/>
        <v>0</v>
      </c>
      <c r="F30" s="82"/>
      <c r="G30" s="139"/>
      <c r="H30" s="140">
        <v>0</v>
      </c>
      <c r="I30" s="140">
        <f t="shared" si="3"/>
        <v>0</v>
      </c>
      <c r="J30" s="141">
        <v>60000</v>
      </c>
      <c r="K30" s="142">
        <f t="shared" si="1"/>
        <v>60000</v>
      </c>
    </row>
    <row r="31" spans="1:11" ht="20.25" customHeight="1" x14ac:dyDescent="0.35">
      <c r="C31" s="110" t="s">
        <v>56</v>
      </c>
      <c r="D31" s="143" t="s">
        <v>57</v>
      </c>
      <c r="E31" s="144">
        <f t="shared" si="0"/>
        <v>0</v>
      </c>
      <c r="F31" s="51"/>
      <c r="G31" s="51"/>
      <c r="H31" s="52">
        <v>0</v>
      </c>
      <c r="I31" s="114">
        <f t="shared" si="3"/>
        <v>0</v>
      </c>
      <c r="J31" s="54">
        <v>280000</v>
      </c>
      <c r="K31" s="115">
        <f t="shared" si="1"/>
        <v>280000</v>
      </c>
    </row>
    <row r="32" spans="1:11" ht="20.25" customHeight="1" x14ac:dyDescent="0.35">
      <c r="C32" s="116" t="s">
        <v>58</v>
      </c>
      <c r="D32" s="49" t="s">
        <v>59</v>
      </c>
      <c r="E32" s="145">
        <f>+F32+G32</f>
        <v>0</v>
      </c>
      <c r="F32" s="51"/>
      <c r="G32" s="51"/>
      <c r="H32" s="52">
        <v>0</v>
      </c>
      <c r="I32" s="114">
        <f t="shared" si="3"/>
        <v>0</v>
      </c>
      <c r="J32" s="54">
        <v>40000</v>
      </c>
      <c r="K32" s="115">
        <f t="shared" si="1"/>
        <v>40000</v>
      </c>
    </row>
    <row r="33" spans="2:11" ht="20.25" customHeight="1" x14ac:dyDescent="0.35">
      <c r="C33" s="154" t="s">
        <v>60</v>
      </c>
      <c r="D33" s="262" t="s">
        <v>61</v>
      </c>
      <c r="E33" s="145">
        <f>+F33+G33</f>
        <v>0</v>
      </c>
      <c r="F33" s="51"/>
      <c r="G33" s="51"/>
      <c r="H33" s="52"/>
      <c r="I33" s="114">
        <f t="shared" si="3"/>
        <v>0</v>
      </c>
      <c r="J33" s="54">
        <v>2000</v>
      </c>
      <c r="K33" s="115">
        <f t="shared" si="1"/>
        <v>2000</v>
      </c>
    </row>
    <row r="34" spans="2:11" ht="20.25" customHeight="1" thickBot="1" x14ac:dyDescent="0.4">
      <c r="C34" s="116" t="s">
        <v>62</v>
      </c>
      <c r="D34" s="49" t="s">
        <v>63</v>
      </c>
      <c r="E34" s="145">
        <f>+F35+G35</f>
        <v>0</v>
      </c>
      <c r="F34" s="51"/>
      <c r="G34" s="51"/>
      <c r="H34" s="52">
        <v>0</v>
      </c>
      <c r="I34" s="114">
        <f t="shared" si="3"/>
        <v>0</v>
      </c>
      <c r="J34" s="54">
        <v>0</v>
      </c>
      <c r="K34" s="117">
        <f t="shared" si="1"/>
        <v>0</v>
      </c>
    </row>
    <row r="35" spans="2:11" ht="20.25" customHeight="1" x14ac:dyDescent="0.35">
      <c r="C35" s="146" t="s">
        <v>64</v>
      </c>
      <c r="D35" s="147" t="s">
        <v>65</v>
      </c>
      <c r="E35" s="148">
        <f>SUM(E36:E40)</f>
        <v>0</v>
      </c>
      <c r="F35" s="149">
        <f t="shared" ref="F35:K35" si="4">SUM(F36:F40)</f>
        <v>0</v>
      </c>
      <c r="G35" s="150">
        <f t="shared" si="4"/>
        <v>0</v>
      </c>
      <c r="H35" s="129">
        <f>SUM(H36:H40)</f>
        <v>0</v>
      </c>
      <c r="I35" s="151">
        <f t="shared" si="4"/>
        <v>0</v>
      </c>
      <c r="J35" s="130">
        <v>65000</v>
      </c>
      <c r="K35" s="150">
        <f t="shared" si="4"/>
        <v>65000</v>
      </c>
    </row>
    <row r="36" spans="2:11" s="152" customFormat="1" ht="20.25" customHeight="1" x14ac:dyDescent="0.35">
      <c r="B36" s="152">
        <v>6503300</v>
      </c>
      <c r="C36" s="116" t="s">
        <v>66</v>
      </c>
      <c r="D36" s="153" t="s">
        <v>67</v>
      </c>
      <c r="E36" s="74">
        <f t="shared" si="0"/>
        <v>0</v>
      </c>
      <c r="F36" s="51"/>
      <c r="G36" s="76"/>
      <c r="H36" s="78">
        <v>0</v>
      </c>
      <c r="I36" s="78">
        <f t="shared" ref="I36:I57" si="5">+E36+H36</f>
        <v>0</v>
      </c>
      <c r="J36" s="79">
        <v>7000</v>
      </c>
      <c r="K36" s="134">
        <f t="shared" si="1"/>
        <v>7000</v>
      </c>
    </row>
    <row r="37" spans="2:11" ht="20.25" customHeight="1" x14ac:dyDescent="0.35">
      <c r="C37" s="116" t="s">
        <v>68</v>
      </c>
      <c r="D37" s="153" t="s">
        <v>69</v>
      </c>
      <c r="E37" s="74">
        <f t="shared" si="0"/>
        <v>0</v>
      </c>
      <c r="F37" s="51"/>
      <c r="G37" s="76"/>
      <c r="H37" s="78">
        <v>0</v>
      </c>
      <c r="I37" s="78">
        <f t="shared" si="5"/>
        <v>0</v>
      </c>
      <c r="J37" s="79"/>
      <c r="K37" s="134">
        <f t="shared" si="1"/>
        <v>0</v>
      </c>
    </row>
    <row r="38" spans="2:11" ht="20.25" customHeight="1" x14ac:dyDescent="0.35">
      <c r="C38" s="154" t="s">
        <v>70</v>
      </c>
      <c r="D38" s="153" t="s">
        <v>71</v>
      </c>
      <c r="E38" s="74">
        <f t="shared" si="0"/>
        <v>0</v>
      </c>
      <c r="F38" s="51"/>
      <c r="G38" s="76"/>
      <c r="H38" s="78">
        <v>0</v>
      </c>
      <c r="I38" s="78">
        <f t="shared" si="5"/>
        <v>0</v>
      </c>
      <c r="J38" s="79"/>
      <c r="K38" s="134">
        <f t="shared" si="1"/>
        <v>0</v>
      </c>
    </row>
    <row r="39" spans="2:11" ht="20.25" customHeight="1" x14ac:dyDescent="0.35">
      <c r="C39" s="154" t="s">
        <v>72</v>
      </c>
      <c r="D39" s="153" t="s">
        <v>73</v>
      </c>
      <c r="E39" s="74">
        <f t="shared" si="0"/>
        <v>0</v>
      </c>
      <c r="F39" s="75"/>
      <c r="G39" s="76"/>
      <c r="H39" s="78">
        <v>0</v>
      </c>
      <c r="I39" s="78">
        <f t="shared" si="5"/>
        <v>0</v>
      </c>
      <c r="J39" s="79">
        <v>58000</v>
      </c>
      <c r="K39" s="134">
        <f t="shared" si="1"/>
        <v>58000</v>
      </c>
    </row>
    <row r="40" spans="2:11" ht="20.25" customHeight="1" thickBot="1" x14ac:dyDescent="0.4">
      <c r="C40" s="155" t="s">
        <v>74</v>
      </c>
      <c r="D40" s="156" t="s">
        <v>75</v>
      </c>
      <c r="E40" s="157">
        <f t="shared" si="0"/>
        <v>0</v>
      </c>
      <c r="F40" s="158"/>
      <c r="G40" s="159"/>
      <c r="H40" s="160">
        <v>0</v>
      </c>
      <c r="I40" s="160">
        <f t="shared" si="5"/>
        <v>0</v>
      </c>
      <c r="J40" s="141"/>
      <c r="K40" s="161">
        <f t="shared" si="1"/>
        <v>0</v>
      </c>
    </row>
    <row r="41" spans="2:11" ht="20.25" customHeight="1" x14ac:dyDescent="0.35">
      <c r="C41" s="162" t="s">
        <v>76</v>
      </c>
      <c r="D41" s="163" t="s">
        <v>77</v>
      </c>
      <c r="E41" s="89">
        <f t="shared" si="0"/>
        <v>0</v>
      </c>
      <c r="F41" s="90"/>
      <c r="G41" s="51"/>
      <c r="H41" s="92">
        <v>0</v>
      </c>
      <c r="I41" s="93">
        <f t="shared" si="5"/>
        <v>0</v>
      </c>
      <c r="J41" s="164">
        <v>20000</v>
      </c>
      <c r="K41" s="165">
        <f t="shared" si="1"/>
        <v>20000</v>
      </c>
    </row>
    <row r="42" spans="2:11" ht="20.25" customHeight="1" x14ac:dyDescent="0.35">
      <c r="C42" s="116" t="s">
        <v>78</v>
      </c>
      <c r="D42" s="166" t="s">
        <v>79</v>
      </c>
      <c r="E42" s="50">
        <f t="shared" si="0"/>
        <v>0</v>
      </c>
      <c r="F42" s="51"/>
      <c r="G42" s="51"/>
      <c r="H42" s="52">
        <v>0</v>
      </c>
      <c r="I42" s="53">
        <f t="shared" si="5"/>
        <v>0</v>
      </c>
      <c r="J42" s="54">
        <f>+[1]Comunitario!F53</f>
        <v>0</v>
      </c>
      <c r="K42" s="117">
        <f t="shared" si="1"/>
        <v>0</v>
      </c>
    </row>
    <row r="43" spans="2:11" ht="20.25" customHeight="1" x14ac:dyDescent="0.35">
      <c r="C43" s="116" t="s">
        <v>80</v>
      </c>
      <c r="D43" s="166" t="s">
        <v>81</v>
      </c>
      <c r="E43" s="50">
        <f t="shared" si="0"/>
        <v>0</v>
      </c>
      <c r="F43" s="51"/>
      <c r="G43" s="51"/>
      <c r="H43" s="52">
        <v>0</v>
      </c>
      <c r="I43" s="53">
        <f t="shared" si="5"/>
        <v>0</v>
      </c>
      <c r="J43" s="54">
        <f>+[1]Comunitario!F54</f>
        <v>0</v>
      </c>
      <c r="K43" s="117">
        <f t="shared" si="1"/>
        <v>0</v>
      </c>
    </row>
    <row r="44" spans="2:11" ht="20.25" customHeight="1" x14ac:dyDescent="0.35">
      <c r="C44" s="116" t="s">
        <v>82</v>
      </c>
      <c r="D44" s="166" t="s">
        <v>83</v>
      </c>
      <c r="E44" s="50">
        <f t="shared" si="0"/>
        <v>0</v>
      </c>
      <c r="F44" s="51"/>
      <c r="G44" s="51"/>
      <c r="H44" s="52">
        <v>0</v>
      </c>
      <c r="I44" s="53">
        <f t="shared" si="5"/>
        <v>0</v>
      </c>
      <c r="J44" s="54">
        <f>+[1]Comunitario!F55</f>
        <v>0</v>
      </c>
      <c r="K44" s="117">
        <f t="shared" si="1"/>
        <v>0</v>
      </c>
    </row>
    <row r="45" spans="2:11" ht="20.25" customHeight="1" x14ac:dyDescent="0.35">
      <c r="C45" s="154" t="s">
        <v>84</v>
      </c>
      <c r="D45" s="167" t="s">
        <v>85</v>
      </c>
      <c r="E45" s="50">
        <f t="shared" si="0"/>
        <v>0</v>
      </c>
      <c r="F45" s="51"/>
      <c r="G45" s="51"/>
      <c r="H45" s="52">
        <v>0</v>
      </c>
      <c r="I45" s="53">
        <f t="shared" si="5"/>
        <v>0</v>
      </c>
      <c r="J45" s="54">
        <v>230000</v>
      </c>
      <c r="K45" s="117">
        <f t="shared" si="1"/>
        <v>230000</v>
      </c>
    </row>
    <row r="46" spans="2:11" ht="20.25" customHeight="1" x14ac:dyDescent="0.35">
      <c r="C46" s="154" t="s">
        <v>86</v>
      </c>
      <c r="D46" s="167" t="s">
        <v>87</v>
      </c>
      <c r="E46" s="50">
        <f t="shared" si="0"/>
        <v>0</v>
      </c>
      <c r="F46" s="51"/>
      <c r="G46" s="51"/>
      <c r="H46" s="52">
        <v>0</v>
      </c>
      <c r="I46" s="53">
        <f t="shared" si="5"/>
        <v>0</v>
      </c>
      <c r="J46" s="54">
        <v>240000</v>
      </c>
      <c r="K46" s="117">
        <f t="shared" si="1"/>
        <v>240000</v>
      </c>
    </row>
    <row r="47" spans="2:11" ht="20.25" customHeight="1" x14ac:dyDescent="0.35">
      <c r="C47" s="154" t="s">
        <v>88</v>
      </c>
      <c r="D47" s="168" t="s">
        <v>89</v>
      </c>
      <c r="E47" s="50">
        <f t="shared" si="0"/>
        <v>0</v>
      </c>
      <c r="G47" s="98"/>
      <c r="H47" s="52">
        <v>0</v>
      </c>
      <c r="I47" s="53">
        <f>+E47+H47</f>
        <v>0</v>
      </c>
      <c r="J47" s="54">
        <v>60000</v>
      </c>
      <c r="K47" s="117">
        <f t="shared" si="1"/>
        <v>60000</v>
      </c>
    </row>
    <row r="48" spans="2:11" ht="20.25" customHeight="1" x14ac:dyDescent="0.35">
      <c r="C48" s="110" t="s">
        <v>90</v>
      </c>
      <c r="D48" s="88" t="s">
        <v>91</v>
      </c>
      <c r="E48" s="111">
        <f t="shared" si="0"/>
        <v>0</v>
      </c>
      <c r="F48" s="112"/>
      <c r="G48" s="113"/>
      <c r="H48" s="52">
        <v>0</v>
      </c>
      <c r="I48" s="114">
        <f t="shared" si="5"/>
        <v>0</v>
      </c>
      <c r="J48" s="54">
        <v>15000</v>
      </c>
      <c r="K48" s="115">
        <f>+J48-I48</f>
        <v>15000</v>
      </c>
    </row>
    <row r="49" spans="1:11" ht="20.25" customHeight="1" x14ac:dyDescent="0.35">
      <c r="C49" s="116" t="s">
        <v>92</v>
      </c>
      <c r="D49" s="97" t="s">
        <v>93</v>
      </c>
      <c r="E49" s="50">
        <f t="shared" si="0"/>
        <v>0</v>
      </c>
      <c r="F49" s="51"/>
      <c r="G49" s="98"/>
      <c r="H49" s="52">
        <v>0</v>
      </c>
      <c r="I49" s="53">
        <f t="shared" si="5"/>
        <v>0</v>
      </c>
      <c r="J49" s="54">
        <v>40000</v>
      </c>
      <c r="K49" s="117">
        <f t="shared" si="1"/>
        <v>40000</v>
      </c>
    </row>
    <row r="50" spans="1:11" ht="20.25" customHeight="1" x14ac:dyDescent="0.35">
      <c r="C50" s="116" t="s">
        <v>94</v>
      </c>
      <c r="D50" s="97" t="s">
        <v>95</v>
      </c>
      <c r="E50" s="50">
        <f t="shared" si="0"/>
        <v>0</v>
      </c>
      <c r="F50" s="51"/>
      <c r="G50" s="98"/>
      <c r="H50" s="52">
        <v>0</v>
      </c>
      <c r="I50" s="53">
        <f t="shared" si="5"/>
        <v>0</v>
      </c>
      <c r="J50" s="54">
        <v>8000</v>
      </c>
      <c r="K50" s="117">
        <f t="shared" si="1"/>
        <v>8000</v>
      </c>
    </row>
    <row r="51" spans="1:11" ht="20.25" customHeight="1" x14ac:dyDescent="0.35">
      <c r="C51" s="116" t="s">
        <v>96</v>
      </c>
      <c r="D51" s="97" t="s">
        <v>97</v>
      </c>
      <c r="E51" s="169">
        <f>+F51+G51</f>
        <v>0</v>
      </c>
      <c r="F51" s="51"/>
      <c r="G51" s="98"/>
      <c r="H51" s="52">
        <v>0</v>
      </c>
      <c r="I51" s="53">
        <f t="shared" si="5"/>
        <v>0</v>
      </c>
      <c r="J51" s="54">
        <v>0</v>
      </c>
      <c r="K51" s="117">
        <f t="shared" si="1"/>
        <v>0</v>
      </c>
    </row>
    <row r="52" spans="1:11" ht="20.25" customHeight="1" x14ac:dyDescent="0.35">
      <c r="C52" s="116" t="s">
        <v>98</v>
      </c>
      <c r="D52" s="97" t="s">
        <v>99</v>
      </c>
      <c r="E52" s="50">
        <f t="shared" si="0"/>
        <v>0</v>
      </c>
      <c r="F52" s="51"/>
      <c r="G52" s="98"/>
      <c r="H52" s="52">
        <v>0</v>
      </c>
      <c r="I52" s="53">
        <f t="shared" si="5"/>
        <v>0</v>
      </c>
      <c r="J52" s="54">
        <v>150000</v>
      </c>
      <c r="K52" s="117">
        <f t="shared" si="1"/>
        <v>150000</v>
      </c>
    </row>
    <row r="53" spans="1:11" ht="20.25" customHeight="1" x14ac:dyDescent="0.35">
      <c r="B53" s="3">
        <v>6530900</v>
      </c>
      <c r="C53" s="116" t="s">
        <v>100</v>
      </c>
      <c r="D53" s="170" t="s">
        <v>101</v>
      </c>
      <c r="E53" s="50">
        <f t="shared" si="0"/>
        <v>0</v>
      </c>
      <c r="F53" s="171"/>
      <c r="G53" s="172"/>
      <c r="H53" s="173">
        <v>0</v>
      </c>
      <c r="I53" s="53">
        <f>+E53+H53</f>
        <v>0</v>
      </c>
      <c r="J53" s="54">
        <f>+[1]Comunitario!F62</f>
        <v>0</v>
      </c>
      <c r="K53" s="117">
        <f>+J53-I53</f>
        <v>0</v>
      </c>
    </row>
    <row r="54" spans="1:11" ht="20.25" customHeight="1" x14ac:dyDescent="0.35">
      <c r="C54" s="116" t="s">
        <v>102</v>
      </c>
      <c r="D54" s="170" t="s">
        <v>103</v>
      </c>
      <c r="E54" s="169">
        <f>+F54+G54</f>
        <v>0</v>
      </c>
      <c r="F54" s="171"/>
      <c r="G54" s="172"/>
      <c r="H54" s="174">
        <v>0</v>
      </c>
      <c r="I54" s="53">
        <f>+E54+H54</f>
        <v>0</v>
      </c>
      <c r="J54" s="54">
        <v>0</v>
      </c>
      <c r="K54" s="117">
        <f>+J54-I54</f>
        <v>0</v>
      </c>
    </row>
    <row r="55" spans="1:11" ht="20.25" customHeight="1" x14ac:dyDescent="0.35">
      <c r="B55" s="3">
        <v>6580100</v>
      </c>
      <c r="C55" s="116" t="s">
        <v>104</v>
      </c>
      <c r="D55" s="97" t="s">
        <v>105</v>
      </c>
      <c r="E55" s="50">
        <f t="shared" si="0"/>
        <v>0</v>
      </c>
      <c r="F55" s="51"/>
      <c r="G55" s="98"/>
      <c r="H55" s="52">
        <v>0</v>
      </c>
      <c r="I55" s="53">
        <f t="shared" si="5"/>
        <v>0</v>
      </c>
      <c r="J55" s="54">
        <v>5000</v>
      </c>
      <c r="K55" s="117">
        <f>+J55-I55</f>
        <v>5000</v>
      </c>
    </row>
    <row r="56" spans="1:11" s="175" customFormat="1" ht="20.25" customHeight="1" x14ac:dyDescent="0.35">
      <c r="C56" s="154" t="s">
        <v>106</v>
      </c>
      <c r="D56" s="176" t="s">
        <v>107</v>
      </c>
      <c r="E56" s="169">
        <f t="shared" si="0"/>
        <v>0</v>
      </c>
      <c r="F56" s="100"/>
      <c r="G56" s="177"/>
      <c r="H56" s="178">
        <v>0</v>
      </c>
      <c r="I56" s="179">
        <f t="shared" si="5"/>
        <v>0</v>
      </c>
      <c r="J56" s="99">
        <f>+[1]Comunitario!F64</f>
        <v>0</v>
      </c>
      <c r="K56" s="180">
        <f t="shared" si="1"/>
        <v>0</v>
      </c>
    </row>
    <row r="57" spans="1:11" ht="20.25" customHeight="1" x14ac:dyDescent="0.35">
      <c r="C57" s="116" t="s">
        <v>108</v>
      </c>
      <c r="D57" s="181" t="s">
        <v>109</v>
      </c>
      <c r="E57" s="50">
        <f t="shared" si="0"/>
        <v>0</v>
      </c>
      <c r="F57" s="51"/>
      <c r="G57" s="98"/>
      <c r="H57" s="52">
        <v>0</v>
      </c>
      <c r="I57" s="53">
        <f t="shared" si="5"/>
        <v>0</v>
      </c>
      <c r="J57" s="54">
        <v>10000</v>
      </c>
      <c r="K57" s="117">
        <f t="shared" si="1"/>
        <v>10000</v>
      </c>
    </row>
    <row r="58" spans="1:11" s="175" customFormat="1" ht="20.25" customHeight="1" x14ac:dyDescent="0.35">
      <c r="A58" s="175" t="s">
        <v>39</v>
      </c>
      <c r="B58" s="175">
        <v>6590600</v>
      </c>
      <c r="C58" s="154" t="s">
        <v>110</v>
      </c>
      <c r="D58" s="167" t="s">
        <v>111</v>
      </c>
      <c r="E58" s="169">
        <f>+F58+G58</f>
        <v>0</v>
      </c>
      <c r="F58" s="100"/>
      <c r="G58" s="177"/>
      <c r="H58" s="178">
        <v>0</v>
      </c>
      <c r="I58" s="179">
        <f>+E58+H58</f>
        <v>0</v>
      </c>
      <c r="J58" s="99">
        <v>50000</v>
      </c>
      <c r="K58" s="180">
        <f t="shared" si="1"/>
        <v>50000</v>
      </c>
    </row>
    <row r="59" spans="1:11" s="175" customFormat="1" ht="20.25" customHeight="1" x14ac:dyDescent="0.35">
      <c r="C59" s="116" t="s">
        <v>112</v>
      </c>
      <c r="D59" s="97" t="s">
        <v>113</v>
      </c>
      <c r="E59" s="169">
        <f>+F59+G59</f>
        <v>0</v>
      </c>
      <c r="F59" s="100"/>
      <c r="G59" s="177"/>
      <c r="H59" s="178">
        <v>0</v>
      </c>
      <c r="I59" s="179">
        <f t="shared" ref="I59:I60" si="6">+E59+H59</f>
        <v>0</v>
      </c>
      <c r="J59" s="99">
        <v>15000</v>
      </c>
      <c r="K59" s="117">
        <f t="shared" si="1"/>
        <v>15000</v>
      </c>
    </row>
    <row r="60" spans="1:11" ht="20.25" customHeight="1" thickBot="1" x14ac:dyDescent="0.4">
      <c r="C60" s="116">
        <v>668</v>
      </c>
      <c r="D60" s="97" t="s">
        <v>114</v>
      </c>
      <c r="E60" s="169">
        <f>+F60+G60</f>
        <v>0</v>
      </c>
      <c r="F60" s="51"/>
      <c r="G60" s="98"/>
      <c r="H60" s="178">
        <v>0</v>
      </c>
      <c r="I60" s="179">
        <f t="shared" si="6"/>
        <v>0</v>
      </c>
      <c r="J60" s="54"/>
      <c r="K60" s="117">
        <f t="shared" si="1"/>
        <v>0</v>
      </c>
    </row>
    <row r="61" spans="1:11" s="182" customFormat="1" ht="21.5" thickBot="1" x14ac:dyDescent="0.4">
      <c r="C61" s="183"/>
      <c r="D61" s="184" t="s">
        <v>115</v>
      </c>
      <c r="E61" s="185">
        <f>SUM(E9:E60)-E12-E27-E35</f>
        <v>0</v>
      </c>
      <c r="F61" s="186">
        <f>ROUND(SUM(F9:F60)-F12-F27-F35,2)</f>
        <v>0</v>
      </c>
      <c r="G61" s="186">
        <f>ROUND(SUM(G9:G60)-G12-G27-G35,2)</f>
        <v>0</v>
      </c>
      <c r="H61" s="186">
        <f>SUM(H9:H60)-H12-H27-H35</f>
        <v>0</v>
      </c>
      <c r="I61" s="186">
        <f>SUM(I9:I60)-I12-I27-I35</f>
        <v>0</v>
      </c>
      <c r="J61" s="186">
        <f>SUM(J9:J60)-J12-J27-J35</f>
        <v>2061000</v>
      </c>
      <c r="K61" s="187">
        <f>SUM(K9:K60)-K12-K27-K35</f>
        <v>2061000</v>
      </c>
    </row>
    <row r="62" spans="1:11" s="23" customFormat="1" ht="33" customHeight="1" x14ac:dyDescent="0.35">
      <c r="C62" s="16" t="s">
        <v>1</v>
      </c>
      <c r="D62" s="17" t="s">
        <v>116</v>
      </c>
      <c r="E62" s="18" t="str">
        <f>+E6</f>
        <v>MES CORRIENTE</v>
      </c>
      <c r="F62" s="19" t="str">
        <f>+F6</f>
        <v>BANCO</v>
      </c>
      <c r="G62" s="20" t="str">
        <f>+G6</f>
        <v>CAJA</v>
      </c>
      <c r="H62" s="18" t="s">
        <v>117</v>
      </c>
      <c r="I62" s="21" t="s">
        <v>118</v>
      </c>
      <c r="J62" s="21" t="str">
        <f>+J6</f>
        <v>PRESUPUESTO 2026</v>
      </c>
      <c r="K62" s="22" t="str">
        <f>+K6</f>
        <v>DIFERENCIA</v>
      </c>
    </row>
    <row r="63" spans="1:11" s="23" customFormat="1" ht="31.5" customHeight="1" thickBot="1" x14ac:dyDescent="0.4">
      <c r="C63" s="188"/>
      <c r="D63" s="189"/>
      <c r="E63" s="190"/>
      <c r="F63" s="191"/>
      <c r="G63" s="192"/>
      <c r="H63" s="190"/>
      <c r="I63" s="193"/>
      <c r="J63" s="193"/>
      <c r="K63" s="194"/>
    </row>
    <row r="64" spans="1:11" ht="20.25" customHeight="1" x14ac:dyDescent="0.35">
      <c r="C64" s="162" t="s">
        <v>119</v>
      </c>
      <c r="D64" s="195" t="s">
        <v>120</v>
      </c>
      <c r="E64" s="89">
        <f t="shared" ref="E64:E74" si="7">+F64+G64</f>
        <v>0</v>
      </c>
      <c r="F64" s="90"/>
      <c r="G64" s="196"/>
      <c r="H64" s="52">
        <v>0</v>
      </c>
      <c r="I64" s="93">
        <f t="shared" ref="I64:I74" si="8">+E64+H64</f>
        <v>0</v>
      </c>
      <c r="J64" s="197">
        <f>+[1]Comunitario!F75</f>
        <v>0</v>
      </c>
      <c r="K64" s="165">
        <f t="shared" ref="K64:K74" si="9">+J64-I64</f>
        <v>0</v>
      </c>
    </row>
    <row r="65" spans="1:11" ht="20.25" customHeight="1" x14ac:dyDescent="0.35">
      <c r="C65" s="116" t="s">
        <v>121</v>
      </c>
      <c r="D65" s="97" t="s">
        <v>122</v>
      </c>
      <c r="E65" s="50">
        <f t="shared" si="7"/>
        <v>0</v>
      </c>
      <c r="F65" s="51"/>
      <c r="G65" s="198"/>
      <c r="H65" s="52">
        <v>0</v>
      </c>
      <c r="I65" s="53">
        <f t="shared" si="8"/>
        <v>0</v>
      </c>
      <c r="J65" s="171">
        <v>0</v>
      </c>
      <c r="K65" s="117">
        <f t="shared" si="9"/>
        <v>0</v>
      </c>
    </row>
    <row r="66" spans="1:11" ht="20.25" customHeight="1" x14ac:dyDescent="0.35">
      <c r="C66" s="116" t="s">
        <v>123</v>
      </c>
      <c r="D66" s="97" t="s">
        <v>124</v>
      </c>
      <c r="E66" s="50">
        <f t="shared" si="7"/>
        <v>0</v>
      </c>
      <c r="F66" s="51"/>
      <c r="G66" s="198"/>
      <c r="H66" s="52">
        <v>0</v>
      </c>
      <c r="I66" s="53">
        <f>+E66+H66</f>
        <v>0</v>
      </c>
      <c r="J66" s="171">
        <f>+[1]Comunitario!F77</f>
        <v>0</v>
      </c>
      <c r="K66" s="117">
        <f t="shared" si="9"/>
        <v>0</v>
      </c>
    </row>
    <row r="67" spans="1:11" ht="20.25" customHeight="1" x14ac:dyDescent="0.35">
      <c r="C67" s="116" t="s">
        <v>125</v>
      </c>
      <c r="D67" s="97" t="s">
        <v>126</v>
      </c>
      <c r="E67" s="50">
        <v>0</v>
      </c>
      <c r="F67" s="51"/>
      <c r="G67" s="198"/>
      <c r="H67" s="52">
        <v>0</v>
      </c>
      <c r="I67" s="53">
        <f t="shared" si="8"/>
        <v>0</v>
      </c>
      <c r="J67" s="171">
        <v>1500000</v>
      </c>
      <c r="K67" s="117">
        <f t="shared" si="9"/>
        <v>1500000</v>
      </c>
    </row>
    <row r="68" spans="1:11" ht="20.25" customHeight="1" x14ac:dyDescent="0.35">
      <c r="C68" s="116" t="s">
        <v>127</v>
      </c>
      <c r="D68" s="97" t="s">
        <v>128</v>
      </c>
      <c r="E68" s="50">
        <f t="shared" si="7"/>
        <v>0</v>
      </c>
      <c r="F68" s="51"/>
      <c r="G68" s="198"/>
      <c r="H68" s="52">
        <v>0</v>
      </c>
      <c r="I68" s="53">
        <f t="shared" si="8"/>
        <v>0</v>
      </c>
      <c r="J68" s="171">
        <v>0</v>
      </c>
      <c r="K68" s="117">
        <f t="shared" si="9"/>
        <v>0</v>
      </c>
    </row>
    <row r="69" spans="1:11" ht="20.25" customHeight="1" x14ac:dyDescent="0.35">
      <c r="C69" s="116" t="s">
        <v>129</v>
      </c>
      <c r="D69" s="97" t="s">
        <v>130</v>
      </c>
      <c r="E69" s="50">
        <f t="shared" si="7"/>
        <v>0</v>
      </c>
      <c r="F69" s="51"/>
      <c r="G69" s="198"/>
      <c r="H69" s="52">
        <v>0</v>
      </c>
      <c r="I69" s="53">
        <f t="shared" si="8"/>
        <v>0</v>
      </c>
      <c r="J69" s="171">
        <v>0</v>
      </c>
      <c r="K69" s="117">
        <f t="shared" si="9"/>
        <v>0</v>
      </c>
    </row>
    <row r="70" spans="1:11" ht="20.25" customHeight="1" x14ac:dyDescent="0.35">
      <c r="C70" s="116" t="s">
        <v>131</v>
      </c>
      <c r="D70" s="97" t="s">
        <v>132</v>
      </c>
      <c r="E70" s="50">
        <f t="shared" si="7"/>
        <v>0</v>
      </c>
      <c r="F70" s="51"/>
      <c r="G70" s="198"/>
      <c r="H70" s="52">
        <v>0</v>
      </c>
      <c r="I70" s="53">
        <f t="shared" si="8"/>
        <v>0</v>
      </c>
      <c r="J70" s="171">
        <v>35000</v>
      </c>
      <c r="K70" s="117">
        <f t="shared" si="9"/>
        <v>35000</v>
      </c>
    </row>
    <row r="71" spans="1:11" ht="20.25" customHeight="1" x14ac:dyDescent="0.35">
      <c r="C71" s="116" t="s">
        <v>133</v>
      </c>
      <c r="D71" s="97" t="s">
        <v>134</v>
      </c>
      <c r="E71" s="169">
        <f t="shared" si="7"/>
        <v>0</v>
      </c>
      <c r="F71" s="51"/>
      <c r="G71" s="50"/>
      <c r="H71" s="52">
        <v>0</v>
      </c>
      <c r="I71" s="53">
        <f t="shared" si="8"/>
        <v>0</v>
      </c>
      <c r="J71" s="171">
        <v>700000</v>
      </c>
      <c r="K71" s="117">
        <f t="shared" si="9"/>
        <v>700000</v>
      </c>
    </row>
    <row r="72" spans="1:11" ht="20.25" customHeight="1" x14ac:dyDescent="0.35">
      <c r="C72" s="116" t="s">
        <v>135</v>
      </c>
      <c r="D72" s="97" t="s">
        <v>136</v>
      </c>
      <c r="E72" s="50">
        <f t="shared" si="7"/>
        <v>0</v>
      </c>
      <c r="F72" s="51"/>
      <c r="G72" s="198"/>
      <c r="H72" s="52">
        <v>0</v>
      </c>
      <c r="I72" s="53">
        <f t="shared" si="8"/>
        <v>0</v>
      </c>
      <c r="J72" s="171">
        <v>0</v>
      </c>
      <c r="K72" s="117">
        <f t="shared" si="9"/>
        <v>0</v>
      </c>
    </row>
    <row r="73" spans="1:11" ht="20.25" customHeight="1" x14ac:dyDescent="0.35">
      <c r="C73" s="199" t="s">
        <v>137</v>
      </c>
      <c r="D73" s="200" t="s">
        <v>138</v>
      </c>
      <c r="E73" s="50">
        <v>218</v>
      </c>
      <c r="F73" s="201"/>
      <c r="G73" s="202"/>
      <c r="H73" s="52">
        <v>0</v>
      </c>
      <c r="I73" s="53">
        <f t="shared" si="8"/>
        <v>218</v>
      </c>
      <c r="J73" s="171">
        <v>1000</v>
      </c>
      <c r="K73" s="117">
        <f t="shared" si="9"/>
        <v>782</v>
      </c>
    </row>
    <row r="74" spans="1:11" ht="20.25" customHeight="1" thickBot="1" x14ac:dyDescent="0.4">
      <c r="C74" s="199" t="s">
        <v>139</v>
      </c>
      <c r="D74" s="200" t="s">
        <v>140</v>
      </c>
      <c r="E74" s="203">
        <f t="shared" si="7"/>
        <v>0</v>
      </c>
      <c r="F74" s="201"/>
      <c r="G74" s="202"/>
      <c r="H74" s="52">
        <v>0</v>
      </c>
      <c r="I74" s="61">
        <f t="shared" si="8"/>
        <v>0</v>
      </c>
      <c r="J74" s="171">
        <f>+[1]Comunitario!F86</f>
        <v>0</v>
      </c>
      <c r="K74" s="117">
        <f t="shared" si="9"/>
        <v>0</v>
      </c>
    </row>
    <row r="75" spans="1:11" ht="21.5" thickBot="1" x14ac:dyDescent="0.4">
      <c r="C75" s="183"/>
      <c r="D75" s="184" t="s">
        <v>141</v>
      </c>
      <c r="E75" s="185">
        <f>SUM(E64:E74)</f>
        <v>218</v>
      </c>
      <c r="F75" s="186">
        <f>ROUND(SUM(F64:F74),2)</f>
        <v>0</v>
      </c>
      <c r="G75" s="186">
        <f>ROUND(SUM(G64:G74),2)</f>
        <v>0</v>
      </c>
      <c r="H75" s="185">
        <f>SUM(H64:H74)</f>
        <v>0</v>
      </c>
      <c r="I75" s="186">
        <f>SUM(I64:I74)</f>
        <v>218</v>
      </c>
      <c r="J75" s="186">
        <f>SUM(J64:J74)</f>
        <v>2236000</v>
      </c>
      <c r="K75" s="187">
        <f>SUM(K64:K74)</f>
        <v>2235782</v>
      </c>
    </row>
    <row r="76" spans="1:11" ht="21" customHeight="1" thickBot="1" x14ac:dyDescent="0.4">
      <c r="A76" s="204"/>
      <c r="B76" s="204"/>
      <c r="C76" s="205"/>
      <c r="D76" s="206"/>
      <c r="E76" s="206"/>
      <c r="F76" s="207" t="s">
        <v>142</v>
      </c>
      <c r="G76" s="208"/>
      <c r="H76" s="209"/>
      <c r="I76" s="210"/>
      <c r="J76" s="210"/>
      <c r="K76" s="211"/>
    </row>
    <row r="77" spans="1:11" ht="21" customHeight="1" thickBot="1" x14ac:dyDescent="0.4">
      <c r="A77" s="204"/>
      <c r="B77" s="204"/>
      <c r="C77" s="212"/>
      <c r="D77" s="213" t="s">
        <v>143</v>
      </c>
      <c r="E77" s="214"/>
      <c r="F77" s="215">
        <v>0</v>
      </c>
      <c r="G77" s="216"/>
      <c r="H77" s="217"/>
      <c r="I77" s="218"/>
      <c r="J77" s="218"/>
      <c r="K77" s="219"/>
    </row>
    <row r="78" spans="1:11" ht="21" customHeight="1" thickBot="1" x14ac:dyDescent="0.4">
      <c r="C78" s="213" t="s">
        <v>144</v>
      </c>
      <c r="D78" s="214"/>
      <c r="E78" s="220"/>
      <c r="F78" s="215"/>
      <c r="G78" s="216"/>
      <c r="H78" s="221"/>
      <c r="I78" s="222"/>
      <c r="J78" s="222"/>
      <c r="K78" s="223"/>
    </row>
    <row r="79" spans="1:11" ht="27.75" customHeight="1" x14ac:dyDescent="0.35">
      <c r="C79" s="16" t="str">
        <f>+C62</f>
        <v xml:space="preserve">CUENTAS   </v>
      </c>
      <c r="D79" s="224" t="s">
        <v>145</v>
      </c>
      <c r="E79" s="18" t="str">
        <f>+E6</f>
        <v>MES CORRIENTE</v>
      </c>
      <c r="F79" s="19" t="str">
        <f>+F6</f>
        <v>BANCO</v>
      </c>
      <c r="G79" s="20" t="str">
        <f>+G6</f>
        <v>CAJA</v>
      </c>
      <c r="H79" s="18" t="s">
        <v>146</v>
      </c>
      <c r="I79" s="21" t="str">
        <f>+I6</f>
        <v>SUMA DE GASTO ACUMULADO</v>
      </c>
      <c r="J79" s="21" t="str">
        <f>+J6</f>
        <v>PRESUPUESTO 2026</v>
      </c>
      <c r="K79" s="22" t="str">
        <f>+K6</f>
        <v>DIFERENCIA</v>
      </c>
    </row>
    <row r="80" spans="1:11" ht="38.25" customHeight="1" thickBot="1" x14ac:dyDescent="0.4">
      <c r="C80" s="188"/>
      <c r="D80" s="225" t="s">
        <v>145</v>
      </c>
      <c r="E80" s="190"/>
      <c r="F80" s="191"/>
      <c r="G80" s="192"/>
      <c r="H80" s="190"/>
      <c r="I80" s="193"/>
      <c r="J80" s="193"/>
      <c r="K80" s="194"/>
    </row>
    <row r="81" spans="3:11" ht="20.25" customHeight="1" thickBot="1" x14ac:dyDescent="0.4">
      <c r="C81" s="226" t="s">
        <v>147</v>
      </c>
      <c r="D81" s="227" t="s">
        <v>148</v>
      </c>
      <c r="E81" s="50">
        <f t="shared" ref="E81:E87" si="10">+F81+G81</f>
        <v>0</v>
      </c>
      <c r="F81" s="90"/>
      <c r="G81" s="91"/>
      <c r="H81" s="52">
        <v>0</v>
      </c>
      <c r="I81" s="53">
        <f t="shared" ref="I81:I87" si="11">+H81+E81</f>
        <v>0</v>
      </c>
      <c r="J81" s="171">
        <f>+[1]Comunitario!F87</f>
        <v>0</v>
      </c>
      <c r="K81" s="117">
        <f t="shared" ref="K81:K87" si="12">+J81-I81</f>
        <v>0</v>
      </c>
    </row>
    <row r="82" spans="3:11" ht="20.25" customHeight="1" thickBot="1" x14ac:dyDescent="0.4">
      <c r="C82" s="226">
        <v>211000</v>
      </c>
      <c r="D82" s="227" t="s">
        <v>149</v>
      </c>
      <c r="E82" s="50">
        <f t="shared" si="10"/>
        <v>0</v>
      </c>
      <c r="F82" s="112"/>
      <c r="G82" s="59"/>
      <c r="H82" s="52">
        <v>0</v>
      </c>
      <c r="I82" s="53">
        <f t="shared" si="11"/>
        <v>0</v>
      </c>
      <c r="J82" s="171">
        <v>80000</v>
      </c>
      <c r="K82" s="117">
        <f t="shared" si="12"/>
        <v>80000</v>
      </c>
    </row>
    <row r="83" spans="3:11" ht="20.25" customHeight="1" x14ac:dyDescent="0.35">
      <c r="C83" s="228">
        <v>213000</v>
      </c>
      <c r="D83" s="229" t="s">
        <v>150</v>
      </c>
      <c r="E83" s="50">
        <f t="shared" si="10"/>
        <v>0</v>
      </c>
      <c r="F83" s="51"/>
      <c r="G83" s="98"/>
      <c r="H83" s="52">
        <v>0</v>
      </c>
      <c r="I83" s="53">
        <f t="shared" si="11"/>
        <v>0</v>
      </c>
      <c r="J83" s="171">
        <v>0</v>
      </c>
      <c r="K83" s="117">
        <f t="shared" si="12"/>
        <v>0</v>
      </c>
    </row>
    <row r="84" spans="3:11" ht="20.25" customHeight="1" x14ac:dyDescent="0.35">
      <c r="C84" s="228">
        <v>214000</v>
      </c>
      <c r="D84" s="229" t="s">
        <v>151</v>
      </c>
      <c r="E84" s="171">
        <f t="shared" si="10"/>
        <v>0</v>
      </c>
      <c r="F84" s="51"/>
      <c r="G84" s="98"/>
      <c r="H84" s="52">
        <v>0</v>
      </c>
      <c r="I84" s="53">
        <f t="shared" si="11"/>
        <v>0</v>
      </c>
      <c r="J84" s="171">
        <f>+[1]Comunitario!F89</f>
        <v>0</v>
      </c>
      <c r="K84" s="117">
        <f t="shared" si="12"/>
        <v>0</v>
      </c>
    </row>
    <row r="85" spans="3:11" s="109" customFormat="1" ht="20.25" customHeight="1" x14ac:dyDescent="0.35">
      <c r="C85" s="228">
        <v>215000</v>
      </c>
      <c r="D85" s="229" t="s">
        <v>152</v>
      </c>
      <c r="E85" s="171">
        <f t="shared" si="10"/>
        <v>0</v>
      </c>
      <c r="F85" s="51"/>
      <c r="G85" s="98"/>
      <c r="H85" s="52">
        <v>0</v>
      </c>
      <c r="I85" s="53">
        <f t="shared" si="11"/>
        <v>0</v>
      </c>
      <c r="J85" s="171">
        <f>+[1]Comunitario!F90</f>
        <v>0</v>
      </c>
      <c r="K85" s="117">
        <f t="shared" si="12"/>
        <v>0</v>
      </c>
    </row>
    <row r="86" spans="3:11" s="109" customFormat="1" ht="20.25" customHeight="1" x14ac:dyDescent="0.35">
      <c r="C86" s="228">
        <v>216000</v>
      </c>
      <c r="D86" s="229" t="s">
        <v>153</v>
      </c>
      <c r="E86" s="111">
        <f t="shared" si="10"/>
        <v>0</v>
      </c>
      <c r="F86" s="51"/>
      <c r="G86" s="98"/>
      <c r="H86" s="52">
        <v>0</v>
      </c>
      <c r="I86" s="53">
        <f t="shared" si="11"/>
        <v>0</v>
      </c>
      <c r="J86" s="171">
        <v>55000</v>
      </c>
      <c r="K86" s="117">
        <f t="shared" si="12"/>
        <v>55000</v>
      </c>
    </row>
    <row r="87" spans="3:11" s="109" customFormat="1" ht="20.25" customHeight="1" thickBot="1" x14ac:dyDescent="0.4">
      <c r="C87" s="230">
        <v>217000</v>
      </c>
      <c r="D87" s="231" t="s">
        <v>154</v>
      </c>
      <c r="E87" s="121">
        <f t="shared" si="10"/>
        <v>0</v>
      </c>
      <c r="F87" s="59"/>
      <c r="G87" s="232"/>
      <c r="H87" s="52">
        <v>0</v>
      </c>
      <c r="I87" s="53">
        <f t="shared" si="11"/>
        <v>0</v>
      </c>
      <c r="J87" s="171">
        <v>0</v>
      </c>
      <c r="K87" s="117">
        <f t="shared" si="12"/>
        <v>0</v>
      </c>
    </row>
    <row r="88" spans="3:11" ht="21" customHeight="1" thickBot="1" x14ac:dyDescent="0.4">
      <c r="C88" s="233"/>
      <c r="D88" s="234" t="s">
        <v>145</v>
      </c>
      <c r="E88" s="185">
        <f t="shared" ref="E88:K88" si="13">SUM(E81:E87)</f>
        <v>0</v>
      </c>
      <c r="F88" s="186">
        <f>ROUND(SUM(F81:F87),2)</f>
        <v>0</v>
      </c>
      <c r="G88" s="186">
        <f>ROUND(SUM(G81:G87),2)</f>
        <v>0</v>
      </c>
      <c r="H88" s="185">
        <f t="shared" si="13"/>
        <v>0</v>
      </c>
      <c r="I88" s="186">
        <f t="shared" si="13"/>
        <v>0</v>
      </c>
      <c r="J88" s="186">
        <f t="shared" si="13"/>
        <v>135000</v>
      </c>
      <c r="K88" s="187">
        <f t="shared" si="13"/>
        <v>135000</v>
      </c>
    </row>
    <row r="89" spans="3:11" x14ac:dyDescent="0.35">
      <c r="K89" s="235"/>
    </row>
    <row r="90" spans="3:11" x14ac:dyDescent="0.35">
      <c r="E90" s="236"/>
      <c r="F90" s="237" t="s">
        <v>155</v>
      </c>
      <c r="G90" s="238"/>
      <c r="H90" s="239" t="s">
        <v>156</v>
      </c>
      <c r="I90" s="239" t="s">
        <v>157</v>
      </c>
      <c r="J90" s="239" t="s">
        <v>158</v>
      </c>
      <c r="K90" s="240"/>
    </row>
    <row r="91" spans="3:11" ht="16.5" x14ac:dyDescent="0.35">
      <c r="C91" s="3"/>
      <c r="D91" s="3"/>
      <c r="E91" s="236"/>
      <c r="F91" s="241">
        <v>570</v>
      </c>
      <c r="G91" s="241" t="s">
        <v>5</v>
      </c>
      <c r="H91" s="242">
        <f>+G4</f>
        <v>46053</v>
      </c>
      <c r="I91" s="243"/>
      <c r="J91" s="244"/>
      <c r="K91" s="240"/>
    </row>
    <row r="92" spans="3:11" ht="18" thickBot="1" x14ac:dyDescent="0.4">
      <c r="E92" s="236"/>
      <c r="F92" s="245">
        <v>572</v>
      </c>
      <c r="G92" s="241" t="s">
        <v>159</v>
      </c>
      <c r="H92" s="246"/>
      <c r="I92" s="247"/>
      <c r="J92" s="248"/>
      <c r="K92" s="240"/>
    </row>
    <row r="93" spans="3:11" ht="18.5" thickTop="1" thickBot="1" x14ac:dyDescent="0.4">
      <c r="E93" s="236"/>
      <c r="F93" s="249"/>
      <c r="G93" s="250"/>
      <c r="H93" s="251" t="s">
        <v>160</v>
      </c>
      <c r="I93" s="251">
        <f>ROUND(SUM(I91:I92),2)</f>
        <v>0</v>
      </c>
      <c r="J93" s="251">
        <f>ROUND(SUM(J91:J92),2)</f>
        <v>0</v>
      </c>
      <c r="K93" s="240"/>
    </row>
    <row r="94" spans="3:11" ht="20.5" thickTop="1" x14ac:dyDescent="0.35">
      <c r="C94" s="252"/>
      <c r="F94" s="253"/>
      <c r="G94" s="253"/>
      <c r="H94" s="253"/>
      <c r="I94" s="254"/>
      <c r="J94" s="255"/>
      <c r="K94" s="240"/>
    </row>
    <row r="95" spans="3:11" ht="16" x14ac:dyDescent="0.35">
      <c r="C95" s="252"/>
      <c r="K95" s="240"/>
    </row>
    <row r="96" spans="3:11" ht="20" x14ac:dyDescent="0.35">
      <c r="C96" s="252"/>
      <c r="D96" s="256" t="str">
        <f>+[1]Comunitario!B106</f>
        <v>Superiora</v>
      </c>
      <c r="E96" s="257" t="str">
        <f>+[1]Comunitario!C106</f>
        <v>Administradora</v>
      </c>
      <c r="F96" s="258"/>
      <c r="G96" s="258"/>
      <c r="H96" s="259" t="str">
        <f>IF([1]Comunitario!F106=0," ",[1]Comunitario!F106)</f>
        <v xml:space="preserve"> </v>
      </c>
      <c r="I96" s="259"/>
      <c r="J96" s="236"/>
      <c r="K96" s="240"/>
    </row>
    <row r="97" spans="3:11" ht="16" x14ac:dyDescent="0.35">
      <c r="C97" s="252"/>
      <c r="G97" s="236"/>
      <c r="H97" s="236"/>
      <c r="I97" s="236"/>
      <c r="J97" s="236"/>
      <c r="K97" s="240"/>
    </row>
    <row r="98" spans="3:11" ht="16" x14ac:dyDescent="0.35">
      <c r="C98" s="252"/>
      <c r="J98" s="236"/>
      <c r="K98" s="240"/>
    </row>
    <row r="99" spans="3:11" x14ac:dyDescent="0.35">
      <c r="E99" s="236"/>
      <c r="F99" s="236"/>
      <c r="G99" s="236"/>
      <c r="H99" s="236"/>
      <c r="I99" s="236"/>
      <c r="J99" s="236"/>
      <c r="K99" s="240"/>
    </row>
    <row r="100" spans="3:11" x14ac:dyDescent="0.35">
      <c r="J100" s="236"/>
      <c r="K100" s="240"/>
    </row>
    <row r="101" spans="3:11" x14ac:dyDescent="0.35">
      <c r="G101" s="236"/>
      <c r="H101" s="236"/>
      <c r="I101" s="236"/>
      <c r="J101" s="236"/>
      <c r="K101" s="240"/>
    </row>
    <row r="102" spans="3:11" x14ac:dyDescent="0.35">
      <c r="E102" s="236"/>
      <c r="F102" s="236"/>
      <c r="G102" s="236"/>
      <c r="H102" s="236"/>
      <c r="I102" s="236"/>
      <c r="J102" s="236"/>
      <c r="K102" s="240"/>
    </row>
    <row r="103" spans="3:11" x14ac:dyDescent="0.35">
      <c r="E103" s="236"/>
      <c r="F103" s="236"/>
      <c r="G103" s="236"/>
      <c r="H103" s="236"/>
      <c r="I103" s="236"/>
      <c r="J103" s="236"/>
      <c r="K103" s="240"/>
    </row>
    <row r="104" spans="3:11" x14ac:dyDescent="0.35">
      <c r="E104" s="236"/>
      <c r="F104" s="236"/>
      <c r="G104" s="236"/>
      <c r="H104" s="236"/>
      <c r="I104" s="236"/>
      <c r="J104" s="236"/>
      <c r="K104" s="240"/>
    </row>
    <row r="105" spans="3:11" x14ac:dyDescent="0.35">
      <c r="E105" s="236"/>
      <c r="F105" s="236"/>
      <c r="G105" s="236"/>
      <c r="H105" s="236"/>
      <c r="I105" s="236"/>
      <c r="J105" s="236"/>
      <c r="K105" s="240"/>
    </row>
    <row r="106" spans="3:11" x14ac:dyDescent="0.35">
      <c r="E106" s="236"/>
      <c r="F106" s="236"/>
      <c r="G106" s="236"/>
      <c r="H106" s="236"/>
      <c r="I106" s="236"/>
      <c r="J106" s="236"/>
      <c r="K106" s="240"/>
    </row>
    <row r="107" spans="3:11" x14ac:dyDescent="0.35">
      <c r="E107" s="236"/>
      <c r="F107" s="236"/>
      <c r="G107" s="236"/>
      <c r="H107" s="236"/>
      <c r="I107" s="236"/>
      <c r="J107" s="236"/>
      <c r="K107" s="240"/>
    </row>
    <row r="108" spans="3:11" x14ac:dyDescent="0.35">
      <c r="E108" s="236"/>
      <c r="F108" s="236"/>
      <c r="G108" s="236"/>
      <c r="H108" s="236"/>
      <c r="I108" s="236"/>
      <c r="J108" s="236"/>
      <c r="K108" s="240"/>
    </row>
    <row r="109" spans="3:11" x14ac:dyDescent="0.35">
      <c r="E109" s="236"/>
      <c r="F109" s="236"/>
      <c r="G109" s="236"/>
      <c r="H109" s="236"/>
      <c r="I109" s="236"/>
      <c r="J109" s="236"/>
      <c r="K109" s="240"/>
    </row>
    <row r="110" spans="3:11" x14ac:dyDescent="0.35">
      <c r="E110" s="236"/>
      <c r="F110" s="236"/>
      <c r="G110" s="236"/>
      <c r="H110" s="236"/>
      <c r="I110" s="236"/>
      <c r="J110" s="236"/>
      <c r="K110" s="240"/>
    </row>
    <row r="111" spans="3:11" x14ac:dyDescent="0.35">
      <c r="E111" s="236"/>
      <c r="F111" s="236"/>
      <c r="G111" s="236"/>
      <c r="H111" s="236"/>
      <c r="I111" s="236"/>
      <c r="J111" s="236"/>
      <c r="K111" s="240"/>
    </row>
    <row r="112" spans="3:11" x14ac:dyDescent="0.35">
      <c r="E112" s="236"/>
      <c r="F112" s="236"/>
      <c r="G112" s="236"/>
      <c r="H112" s="236"/>
      <c r="I112" s="236"/>
      <c r="J112" s="236"/>
      <c r="K112" s="240"/>
    </row>
    <row r="113" spans="3:11" x14ac:dyDescent="0.35">
      <c r="E113" s="236"/>
      <c r="F113" s="236"/>
      <c r="G113" s="236"/>
      <c r="H113" s="236"/>
      <c r="I113" s="236"/>
      <c r="J113" s="236"/>
      <c r="K113" s="240"/>
    </row>
    <row r="114" spans="3:11" x14ac:dyDescent="0.35">
      <c r="E114" s="236"/>
      <c r="F114" s="236"/>
      <c r="G114" s="236"/>
      <c r="H114" s="236"/>
      <c r="I114" s="236"/>
      <c r="J114" s="236"/>
      <c r="K114" s="240"/>
    </row>
    <row r="115" spans="3:11" x14ac:dyDescent="0.35">
      <c r="E115" s="236"/>
      <c r="F115" s="236"/>
      <c r="G115" s="236"/>
      <c r="H115" s="236"/>
      <c r="I115" s="236"/>
      <c r="J115" s="236"/>
      <c r="K115" s="240"/>
    </row>
    <row r="116" spans="3:11" x14ac:dyDescent="0.35">
      <c r="E116" s="236"/>
      <c r="F116" s="236"/>
      <c r="G116" s="236"/>
      <c r="H116" s="236"/>
      <c r="I116" s="236"/>
      <c r="J116" s="236"/>
      <c r="K116" s="240"/>
    </row>
    <row r="117" spans="3:11" x14ac:dyDescent="0.35">
      <c r="E117" s="236"/>
      <c r="F117" s="236"/>
      <c r="G117" s="236"/>
      <c r="H117" s="236"/>
      <c r="I117" s="236"/>
      <c r="J117" s="236"/>
      <c r="K117" s="240"/>
    </row>
    <row r="118" spans="3:11" x14ac:dyDescent="0.35">
      <c r="E118" s="236"/>
      <c r="F118" s="236"/>
      <c r="G118" s="236"/>
      <c r="H118" s="236"/>
      <c r="I118" s="236"/>
      <c r="J118" s="236"/>
      <c r="K118" s="240"/>
    </row>
    <row r="119" spans="3:11" x14ac:dyDescent="0.35">
      <c r="E119" s="236"/>
      <c r="F119" s="236"/>
      <c r="G119" s="236"/>
      <c r="H119" s="236"/>
      <c r="I119" s="236"/>
      <c r="J119" s="236"/>
      <c r="K119" s="240"/>
    </row>
    <row r="120" spans="3:11" x14ac:dyDescent="0.35">
      <c r="C120" s="260"/>
      <c r="D120" s="261"/>
      <c r="E120" s="236"/>
      <c r="F120" s="236"/>
      <c r="G120" s="236"/>
      <c r="H120" s="236"/>
      <c r="I120" s="236"/>
      <c r="J120" s="236"/>
      <c r="K120" s="240"/>
    </row>
    <row r="121" spans="3:11" x14ac:dyDescent="0.35">
      <c r="C121" s="260"/>
      <c r="D121" s="261"/>
      <c r="E121" s="236"/>
      <c r="F121" s="236"/>
      <c r="G121" s="236"/>
      <c r="H121" s="236"/>
      <c r="I121" s="236"/>
      <c r="J121" s="236"/>
      <c r="K121" s="240"/>
    </row>
    <row r="122" spans="3:11" x14ac:dyDescent="0.35">
      <c r="C122" s="260"/>
      <c r="D122" s="261"/>
      <c r="E122" s="236"/>
      <c r="F122" s="236"/>
      <c r="G122" s="236"/>
      <c r="H122" s="236"/>
      <c r="I122" s="236"/>
      <c r="J122" s="236"/>
      <c r="K122" s="240"/>
    </row>
    <row r="123" spans="3:11" x14ac:dyDescent="0.35">
      <c r="C123" s="260"/>
      <c r="D123" s="261"/>
      <c r="E123" s="236"/>
      <c r="F123" s="236"/>
      <c r="G123" s="236"/>
      <c r="H123" s="236"/>
      <c r="I123" s="236"/>
      <c r="J123" s="236"/>
      <c r="K123" s="240"/>
    </row>
    <row r="124" spans="3:11" x14ac:dyDescent="0.35">
      <c r="C124" s="260"/>
      <c r="D124" s="261"/>
      <c r="E124" s="236"/>
      <c r="F124" s="236"/>
      <c r="G124" s="236"/>
      <c r="H124" s="236"/>
      <c r="I124" s="236"/>
      <c r="J124" s="236"/>
      <c r="K124" s="240"/>
    </row>
    <row r="125" spans="3:11" x14ac:dyDescent="0.35">
      <c r="C125" s="260"/>
      <c r="D125" s="261"/>
      <c r="E125" s="236"/>
      <c r="F125" s="236"/>
      <c r="G125" s="236"/>
      <c r="H125" s="236"/>
      <c r="I125" s="236"/>
      <c r="J125" s="236"/>
      <c r="K125" s="240"/>
    </row>
    <row r="126" spans="3:11" x14ac:dyDescent="0.35">
      <c r="C126" s="260"/>
      <c r="D126" s="261"/>
      <c r="E126" s="236"/>
      <c r="F126" s="236"/>
      <c r="G126" s="236"/>
      <c r="H126" s="236"/>
      <c r="I126" s="236"/>
      <c r="J126" s="236"/>
      <c r="K126" s="240"/>
    </row>
    <row r="127" spans="3:11" x14ac:dyDescent="0.35">
      <c r="C127" s="260"/>
      <c r="D127" s="261"/>
      <c r="E127" s="236"/>
      <c r="F127" s="236"/>
      <c r="G127" s="236"/>
      <c r="H127" s="236"/>
      <c r="I127" s="236"/>
      <c r="J127" s="236"/>
      <c r="K127" s="240"/>
    </row>
    <row r="128" spans="3:11" x14ac:dyDescent="0.35">
      <c r="C128" s="260"/>
      <c r="D128" s="261"/>
      <c r="E128" s="236"/>
      <c r="F128" s="236"/>
      <c r="G128" s="236"/>
      <c r="H128" s="236"/>
      <c r="I128" s="236"/>
      <c r="J128" s="236"/>
      <c r="K128" s="240"/>
    </row>
    <row r="129" spans="3:11" x14ac:dyDescent="0.35">
      <c r="C129" s="260"/>
      <c r="D129" s="261"/>
      <c r="E129" s="236"/>
      <c r="F129" s="236"/>
      <c r="G129" s="236"/>
      <c r="H129" s="236"/>
      <c r="I129" s="236"/>
      <c r="J129" s="236"/>
      <c r="K129" s="240"/>
    </row>
    <row r="130" spans="3:11" x14ac:dyDescent="0.35">
      <c r="C130" s="260"/>
      <c r="D130" s="261"/>
      <c r="E130" s="236"/>
      <c r="F130" s="236"/>
      <c r="G130" s="236"/>
      <c r="H130" s="236"/>
      <c r="I130" s="236"/>
      <c r="J130" s="236"/>
      <c r="K130" s="240"/>
    </row>
    <row r="131" spans="3:11" x14ac:dyDescent="0.35">
      <c r="C131" s="260"/>
      <c r="D131" s="261"/>
      <c r="E131" s="236"/>
      <c r="F131" s="236"/>
      <c r="G131" s="236"/>
      <c r="H131" s="236"/>
      <c r="I131" s="236"/>
      <c r="J131" s="236"/>
      <c r="K131" s="240"/>
    </row>
    <row r="132" spans="3:11" x14ac:dyDescent="0.35">
      <c r="C132" s="260"/>
      <c r="D132" s="261"/>
      <c r="E132" s="236"/>
      <c r="F132" s="236"/>
      <c r="G132" s="236"/>
      <c r="H132" s="236"/>
      <c r="I132" s="236"/>
      <c r="J132" s="236"/>
      <c r="K132" s="240"/>
    </row>
    <row r="133" spans="3:11" x14ac:dyDescent="0.35">
      <c r="C133" s="260"/>
      <c r="D133" s="261"/>
      <c r="E133" s="236"/>
      <c r="F133" s="236"/>
      <c r="G133" s="236"/>
      <c r="H133" s="236"/>
      <c r="I133" s="236"/>
      <c r="J133" s="236"/>
      <c r="K133" s="240"/>
    </row>
    <row r="134" spans="3:11" x14ac:dyDescent="0.35">
      <c r="C134" s="260"/>
      <c r="D134" s="261"/>
      <c r="E134" s="236"/>
      <c r="F134" s="236"/>
      <c r="G134" s="236"/>
      <c r="H134" s="236"/>
      <c r="I134" s="236"/>
      <c r="J134" s="236"/>
      <c r="K134" s="240"/>
    </row>
    <row r="135" spans="3:11" x14ac:dyDescent="0.35">
      <c r="C135" s="260"/>
      <c r="D135" s="261"/>
      <c r="E135" s="236"/>
      <c r="F135" s="236"/>
      <c r="G135" s="236"/>
      <c r="H135" s="236"/>
      <c r="I135" s="236"/>
      <c r="J135" s="236"/>
      <c r="K135" s="240"/>
    </row>
    <row r="136" spans="3:11" x14ac:dyDescent="0.35">
      <c r="C136" s="260"/>
      <c r="D136" s="261"/>
      <c r="E136" s="236"/>
      <c r="F136" s="236"/>
      <c r="G136" s="236"/>
      <c r="H136" s="236"/>
      <c r="I136" s="236"/>
      <c r="J136" s="236"/>
      <c r="K136" s="240"/>
    </row>
    <row r="137" spans="3:11" x14ac:dyDescent="0.35">
      <c r="C137" s="260"/>
      <c r="D137" s="261"/>
      <c r="E137" s="236"/>
      <c r="F137" s="236"/>
      <c r="G137" s="236"/>
      <c r="H137" s="236"/>
      <c r="I137" s="236"/>
      <c r="J137" s="236"/>
      <c r="K137" s="240"/>
    </row>
    <row r="138" spans="3:11" x14ac:dyDescent="0.35">
      <c r="C138" s="260"/>
      <c r="D138" s="261"/>
      <c r="E138" s="236"/>
      <c r="F138" s="236"/>
      <c r="G138" s="236"/>
      <c r="H138" s="236"/>
      <c r="I138" s="236"/>
      <c r="J138" s="236"/>
      <c r="K138" s="240"/>
    </row>
    <row r="139" spans="3:11" x14ac:dyDescent="0.35">
      <c r="C139" s="260"/>
      <c r="D139" s="261"/>
      <c r="E139" s="236"/>
      <c r="F139" s="236"/>
      <c r="G139" s="236"/>
      <c r="H139" s="236"/>
      <c r="I139" s="236"/>
      <c r="J139" s="236"/>
      <c r="K139" s="240"/>
    </row>
    <row r="140" spans="3:11" x14ac:dyDescent="0.35">
      <c r="C140" s="260"/>
      <c r="D140" s="261"/>
      <c r="E140" s="236"/>
      <c r="F140" s="236"/>
      <c r="G140" s="236"/>
      <c r="H140" s="236"/>
      <c r="I140" s="236"/>
      <c r="J140" s="236"/>
      <c r="K140" s="240"/>
    </row>
    <row r="141" spans="3:11" x14ac:dyDescent="0.35">
      <c r="C141" s="260"/>
      <c r="D141" s="261"/>
      <c r="E141" s="236"/>
      <c r="F141" s="236"/>
      <c r="G141" s="236"/>
      <c r="H141" s="236"/>
      <c r="I141" s="236"/>
      <c r="J141" s="236"/>
      <c r="K141" s="240"/>
    </row>
    <row r="142" spans="3:11" x14ac:dyDescent="0.35">
      <c r="C142" s="260"/>
      <c r="D142" s="261"/>
      <c r="E142" s="236"/>
      <c r="F142" s="236"/>
      <c r="G142" s="236"/>
      <c r="H142" s="236"/>
      <c r="I142" s="236"/>
      <c r="J142" s="236"/>
      <c r="K142" s="240"/>
    </row>
    <row r="143" spans="3:11" x14ac:dyDescent="0.35">
      <c r="C143" s="260"/>
      <c r="D143" s="261"/>
      <c r="E143" s="236"/>
      <c r="F143" s="236"/>
      <c r="G143" s="236"/>
      <c r="H143" s="236"/>
      <c r="I143" s="236"/>
      <c r="J143" s="236"/>
      <c r="K143" s="240"/>
    </row>
    <row r="144" spans="3:11" x14ac:dyDescent="0.35">
      <c r="C144" s="260"/>
      <c r="D144" s="261"/>
      <c r="E144" s="236"/>
      <c r="F144" s="236"/>
      <c r="G144" s="236"/>
      <c r="H144" s="236"/>
      <c r="I144" s="236"/>
      <c r="J144" s="236"/>
      <c r="K144" s="240"/>
    </row>
    <row r="145" spans="3:11" x14ac:dyDescent="0.35">
      <c r="C145" s="260"/>
      <c r="D145" s="261"/>
      <c r="E145" s="236"/>
      <c r="F145" s="236"/>
      <c r="G145" s="236"/>
      <c r="H145" s="236"/>
      <c r="I145" s="236"/>
      <c r="J145" s="236"/>
      <c r="K145" s="240"/>
    </row>
    <row r="146" spans="3:11" x14ac:dyDescent="0.35">
      <c r="C146" s="260"/>
      <c r="D146" s="261"/>
      <c r="E146" s="236"/>
      <c r="F146" s="236"/>
      <c r="G146" s="236"/>
      <c r="H146" s="236"/>
      <c r="I146" s="236"/>
      <c r="J146" s="236"/>
      <c r="K146" s="240"/>
    </row>
    <row r="147" spans="3:11" x14ac:dyDescent="0.35">
      <c r="C147" s="260"/>
      <c r="D147" s="261"/>
      <c r="E147" s="236"/>
      <c r="F147" s="236"/>
      <c r="G147" s="236"/>
      <c r="H147" s="236"/>
      <c r="I147" s="236"/>
      <c r="J147" s="236"/>
      <c r="K147" s="240"/>
    </row>
    <row r="148" spans="3:11" x14ac:dyDescent="0.35">
      <c r="C148" s="260"/>
      <c r="D148" s="261"/>
      <c r="E148" s="236"/>
      <c r="F148" s="236"/>
      <c r="G148" s="236"/>
      <c r="H148" s="236"/>
      <c r="I148" s="236"/>
      <c r="J148" s="236"/>
      <c r="K148" s="240"/>
    </row>
    <row r="149" spans="3:11" x14ac:dyDescent="0.35">
      <c r="C149" s="260"/>
      <c r="D149" s="261"/>
      <c r="E149" s="236"/>
      <c r="F149" s="236"/>
      <c r="G149" s="236"/>
      <c r="H149" s="236"/>
      <c r="I149" s="236"/>
      <c r="J149" s="236"/>
      <c r="K149" s="240"/>
    </row>
    <row r="150" spans="3:11" x14ac:dyDescent="0.35">
      <c r="C150" s="260"/>
      <c r="D150" s="261"/>
      <c r="E150" s="236"/>
      <c r="F150" s="236"/>
      <c r="G150" s="236"/>
      <c r="H150" s="236"/>
      <c r="I150" s="236"/>
      <c r="J150" s="236"/>
      <c r="K150" s="240"/>
    </row>
    <row r="151" spans="3:11" x14ac:dyDescent="0.35">
      <c r="C151" s="260"/>
      <c r="D151" s="261"/>
      <c r="E151" s="236"/>
      <c r="F151" s="236"/>
      <c r="G151" s="236"/>
      <c r="H151" s="236"/>
      <c r="I151" s="236"/>
      <c r="J151" s="236"/>
      <c r="K151" s="240"/>
    </row>
    <row r="152" spans="3:11" x14ac:dyDescent="0.35">
      <c r="C152" s="260"/>
      <c r="D152" s="261"/>
      <c r="E152" s="236"/>
      <c r="F152" s="236"/>
      <c r="G152" s="236"/>
      <c r="H152" s="236"/>
      <c r="I152" s="236"/>
      <c r="J152" s="236"/>
      <c r="K152" s="240"/>
    </row>
    <row r="153" spans="3:11" x14ac:dyDescent="0.35">
      <c r="C153" s="260"/>
      <c r="D153" s="261"/>
      <c r="E153" s="236"/>
      <c r="F153" s="236"/>
      <c r="G153" s="236"/>
      <c r="H153" s="236"/>
      <c r="I153" s="236"/>
      <c r="J153" s="236"/>
      <c r="K153" s="240"/>
    </row>
    <row r="154" spans="3:11" x14ac:dyDescent="0.35">
      <c r="C154" s="260"/>
      <c r="D154" s="261"/>
      <c r="E154" s="236"/>
      <c r="F154" s="236"/>
      <c r="G154" s="236"/>
      <c r="H154" s="236"/>
      <c r="I154" s="236"/>
      <c r="J154" s="236"/>
      <c r="K154" s="240"/>
    </row>
    <row r="155" spans="3:11" x14ac:dyDescent="0.35">
      <c r="C155" s="260"/>
      <c r="D155" s="261"/>
      <c r="E155" s="236"/>
      <c r="F155" s="236"/>
      <c r="G155" s="236"/>
      <c r="H155" s="236"/>
      <c r="I155" s="236"/>
      <c r="J155" s="236"/>
      <c r="K155" s="240"/>
    </row>
    <row r="156" spans="3:11" x14ac:dyDescent="0.35">
      <c r="C156" s="260"/>
      <c r="D156" s="261"/>
      <c r="E156" s="236"/>
      <c r="F156" s="236"/>
      <c r="G156" s="236"/>
      <c r="H156" s="236"/>
      <c r="I156" s="236"/>
      <c r="J156" s="236"/>
      <c r="K156" s="240"/>
    </row>
    <row r="157" spans="3:11" x14ac:dyDescent="0.35">
      <c r="C157" s="260"/>
      <c r="D157" s="261"/>
      <c r="E157" s="236"/>
      <c r="F157" s="236"/>
      <c r="G157" s="236"/>
      <c r="H157" s="236"/>
      <c r="I157" s="236"/>
      <c r="J157" s="236"/>
      <c r="K157" s="240"/>
    </row>
    <row r="158" spans="3:11" x14ac:dyDescent="0.35">
      <c r="C158" s="260"/>
      <c r="D158" s="261"/>
      <c r="E158" s="236"/>
      <c r="F158" s="236"/>
      <c r="G158" s="236"/>
      <c r="H158" s="236"/>
      <c r="I158" s="236"/>
      <c r="J158" s="236"/>
      <c r="K158" s="240"/>
    </row>
    <row r="159" spans="3:11" x14ac:dyDescent="0.35">
      <c r="C159" s="260"/>
      <c r="D159" s="261"/>
      <c r="E159" s="236"/>
      <c r="F159" s="236"/>
      <c r="G159" s="236"/>
      <c r="H159" s="236"/>
      <c r="I159" s="236"/>
      <c r="J159" s="236"/>
      <c r="K159" s="240"/>
    </row>
    <row r="160" spans="3:11" x14ac:dyDescent="0.35">
      <c r="C160" s="260"/>
      <c r="D160" s="261"/>
      <c r="E160" s="236"/>
      <c r="F160" s="236"/>
      <c r="G160" s="236"/>
      <c r="H160" s="236"/>
      <c r="I160" s="236"/>
      <c r="J160" s="236"/>
      <c r="K160" s="240"/>
    </row>
    <row r="161" spans="3:11" x14ac:dyDescent="0.35">
      <c r="C161" s="260"/>
      <c r="D161" s="261"/>
      <c r="E161" s="236"/>
      <c r="F161" s="236"/>
      <c r="G161" s="236"/>
      <c r="H161" s="236"/>
      <c r="I161" s="236"/>
      <c r="J161" s="236"/>
      <c r="K161" s="240"/>
    </row>
    <row r="162" spans="3:11" x14ac:dyDescent="0.35">
      <c r="C162" s="260"/>
      <c r="D162" s="261"/>
      <c r="E162" s="236"/>
      <c r="F162" s="236"/>
      <c r="G162" s="236"/>
      <c r="H162" s="236"/>
      <c r="I162" s="236"/>
      <c r="J162" s="236"/>
      <c r="K162" s="240"/>
    </row>
    <row r="163" spans="3:11" x14ac:dyDescent="0.35">
      <c r="C163" s="260"/>
      <c r="D163" s="261"/>
      <c r="E163" s="236"/>
      <c r="F163" s="236"/>
      <c r="G163" s="236"/>
      <c r="H163" s="236"/>
      <c r="I163" s="236"/>
      <c r="J163" s="236"/>
      <c r="K163" s="240"/>
    </row>
    <row r="164" spans="3:11" x14ac:dyDescent="0.35">
      <c r="C164" s="260"/>
      <c r="D164" s="261"/>
      <c r="E164" s="236"/>
      <c r="F164" s="236"/>
      <c r="G164" s="236"/>
      <c r="H164" s="236"/>
      <c r="I164" s="236"/>
      <c r="J164" s="236"/>
      <c r="K164" s="240"/>
    </row>
    <row r="165" spans="3:11" x14ac:dyDescent="0.35">
      <c r="C165" s="260"/>
      <c r="D165" s="261"/>
      <c r="E165" s="236"/>
      <c r="F165" s="236"/>
      <c r="G165" s="236"/>
      <c r="H165" s="236"/>
      <c r="I165" s="236"/>
      <c r="J165" s="236"/>
      <c r="K165" s="240"/>
    </row>
    <row r="166" spans="3:11" x14ac:dyDescent="0.35">
      <c r="C166" s="260"/>
      <c r="D166" s="261"/>
      <c r="E166" s="236"/>
      <c r="F166" s="236"/>
      <c r="G166" s="236"/>
      <c r="H166" s="236"/>
      <c r="I166" s="236"/>
      <c r="J166" s="236"/>
      <c r="K166" s="240"/>
    </row>
    <row r="167" spans="3:11" x14ac:dyDescent="0.35">
      <c r="C167" s="260"/>
      <c r="D167" s="261"/>
      <c r="E167" s="236"/>
      <c r="F167" s="236"/>
      <c r="G167" s="236"/>
      <c r="H167" s="236"/>
      <c r="I167" s="236"/>
      <c r="J167" s="236"/>
      <c r="K167" s="240"/>
    </row>
    <row r="168" spans="3:11" x14ac:dyDescent="0.35">
      <c r="C168" s="260"/>
      <c r="D168" s="261"/>
      <c r="E168" s="236"/>
      <c r="F168" s="236"/>
      <c r="G168" s="236"/>
      <c r="H168" s="236"/>
      <c r="I168" s="236"/>
      <c r="J168" s="236"/>
      <c r="K168" s="240"/>
    </row>
    <row r="169" spans="3:11" x14ac:dyDescent="0.35">
      <c r="C169" s="260"/>
      <c r="D169" s="261"/>
      <c r="E169" s="236"/>
      <c r="F169" s="236"/>
      <c r="G169" s="236"/>
      <c r="H169" s="236"/>
      <c r="I169" s="236"/>
      <c r="J169" s="236"/>
      <c r="K169" s="240"/>
    </row>
    <row r="170" spans="3:11" x14ac:dyDescent="0.35">
      <c r="C170" s="260"/>
      <c r="D170" s="261"/>
      <c r="E170" s="236"/>
      <c r="F170" s="236"/>
      <c r="G170" s="236"/>
      <c r="H170" s="236"/>
      <c r="I170" s="236"/>
      <c r="J170" s="236"/>
      <c r="K170" s="240"/>
    </row>
    <row r="171" spans="3:11" x14ac:dyDescent="0.35">
      <c r="C171" s="260"/>
      <c r="D171" s="261"/>
      <c r="E171" s="236"/>
      <c r="F171" s="236"/>
      <c r="G171" s="236"/>
      <c r="H171" s="236"/>
      <c r="I171" s="236"/>
      <c r="J171" s="236"/>
      <c r="K171" s="240"/>
    </row>
    <row r="172" spans="3:11" x14ac:dyDescent="0.35">
      <c r="C172" s="260"/>
      <c r="D172" s="261"/>
      <c r="E172" s="236"/>
      <c r="F172" s="236"/>
      <c r="G172" s="236"/>
      <c r="H172" s="236"/>
      <c r="I172" s="236"/>
      <c r="J172" s="236"/>
      <c r="K172" s="236"/>
    </row>
    <row r="173" spans="3:11" x14ac:dyDescent="0.35">
      <c r="C173" s="260"/>
      <c r="D173" s="261"/>
      <c r="E173" s="236"/>
      <c r="F173" s="236"/>
      <c r="G173" s="236"/>
      <c r="H173" s="236"/>
      <c r="I173" s="236"/>
      <c r="J173" s="236"/>
      <c r="K173" s="236"/>
    </row>
    <row r="174" spans="3:11" x14ac:dyDescent="0.35">
      <c r="C174" s="260"/>
      <c r="D174" s="261"/>
      <c r="E174" s="236"/>
      <c r="F174" s="236"/>
      <c r="G174" s="236"/>
      <c r="H174" s="236"/>
      <c r="I174" s="236"/>
      <c r="J174" s="236"/>
      <c r="K174" s="236"/>
    </row>
    <row r="175" spans="3:11" x14ac:dyDescent="0.35">
      <c r="C175" s="260"/>
      <c r="D175" s="261"/>
      <c r="E175" s="236"/>
      <c r="F175" s="236"/>
      <c r="G175" s="236"/>
      <c r="H175" s="236"/>
      <c r="I175" s="236"/>
      <c r="J175" s="236"/>
      <c r="K175" s="236"/>
    </row>
    <row r="176" spans="3:11" x14ac:dyDescent="0.35">
      <c r="C176" s="260"/>
      <c r="D176" s="261"/>
      <c r="E176" s="236"/>
      <c r="F176" s="236"/>
      <c r="G176" s="236"/>
      <c r="H176" s="236"/>
      <c r="I176" s="236"/>
      <c r="J176" s="236"/>
      <c r="K176" s="236"/>
    </row>
    <row r="177" spans="3:11" x14ac:dyDescent="0.35">
      <c r="C177" s="260"/>
      <c r="D177" s="261"/>
      <c r="E177" s="236"/>
      <c r="F177" s="236"/>
      <c r="G177" s="236"/>
      <c r="H177" s="236"/>
      <c r="I177" s="236"/>
      <c r="J177" s="236"/>
      <c r="K177" s="236"/>
    </row>
    <row r="178" spans="3:11" x14ac:dyDescent="0.35">
      <c r="C178" s="260"/>
      <c r="D178" s="261"/>
      <c r="E178" s="236"/>
      <c r="F178" s="236"/>
      <c r="G178" s="236"/>
      <c r="H178" s="236"/>
      <c r="I178" s="236"/>
      <c r="J178" s="236"/>
      <c r="K178" s="236"/>
    </row>
    <row r="179" spans="3:11" x14ac:dyDescent="0.35">
      <c r="C179" s="260"/>
      <c r="D179" s="261"/>
      <c r="E179" s="236"/>
      <c r="F179" s="236"/>
      <c r="G179" s="236"/>
      <c r="H179" s="236"/>
      <c r="I179" s="236"/>
      <c r="J179" s="236"/>
      <c r="K179" s="236"/>
    </row>
    <row r="180" spans="3:11" x14ac:dyDescent="0.35">
      <c r="C180" s="260"/>
      <c r="D180" s="261"/>
      <c r="E180" s="236"/>
      <c r="J180" s="236"/>
      <c r="K180" s="236"/>
    </row>
    <row r="209" spans="3:12" ht="14.5" x14ac:dyDescent="0.35">
      <c r="C209" s="3"/>
      <c r="D209" s="3"/>
    </row>
    <row r="210" spans="3:12" ht="16" x14ac:dyDescent="0.35">
      <c r="C210" s="3"/>
      <c r="D210" s="3"/>
      <c r="L210" s="236">
        <v>10200</v>
      </c>
    </row>
    <row r="219" spans="3:12" ht="14.5" x14ac:dyDescent="0.35">
      <c r="C219" s="3"/>
      <c r="D219" s="3"/>
    </row>
  </sheetData>
  <mergeCells count="41">
    <mergeCell ref="I79:I80"/>
    <mergeCell ref="J79:J80"/>
    <mergeCell ref="K79:K80"/>
    <mergeCell ref="F90:G90"/>
    <mergeCell ref="H91:H92"/>
    <mergeCell ref="H96:I96"/>
    <mergeCell ref="C79:C80"/>
    <mergeCell ref="D79:D80"/>
    <mergeCell ref="E79:E80"/>
    <mergeCell ref="F79:F80"/>
    <mergeCell ref="G79:G80"/>
    <mergeCell ref="H79:H80"/>
    <mergeCell ref="I62:I63"/>
    <mergeCell ref="J62:J63"/>
    <mergeCell ref="K62:K63"/>
    <mergeCell ref="C76:E76"/>
    <mergeCell ref="F76:G76"/>
    <mergeCell ref="H76:K78"/>
    <mergeCell ref="D77:E77"/>
    <mergeCell ref="F77:G77"/>
    <mergeCell ref="C78:E78"/>
    <mergeCell ref="F78:G78"/>
    <mergeCell ref="I6:I7"/>
    <mergeCell ref="J6:J7"/>
    <mergeCell ref="K6:K7"/>
    <mergeCell ref="C8:E8"/>
    <mergeCell ref="C62:C63"/>
    <mergeCell ref="D62:D63"/>
    <mergeCell ref="E62:E63"/>
    <mergeCell ref="F62:F63"/>
    <mergeCell ref="G62:G63"/>
    <mergeCell ref="H62:H63"/>
    <mergeCell ref="C4:E5"/>
    <mergeCell ref="F4:F5"/>
    <mergeCell ref="G4:H5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2026-05-02T12:30:04Z</dcterms:modified>
</cp:coreProperties>
</file>