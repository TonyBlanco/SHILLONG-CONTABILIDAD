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ss\Downloads\Co Shi\Contabilidad Shillong\1. Account 2025\10. October 2025\"/>
    </mc:Choice>
  </mc:AlternateContent>
  <bookViews>
    <workbookView xWindow="0" yWindow="0" windowWidth="19200" windowHeight="6760"/>
  </bookViews>
  <sheets>
    <sheet name="OCTUBRE25" sheetId="11" r:id="rId1"/>
  </sheets>
  <calcPr calcId="162913"/>
</workbook>
</file>

<file path=xl/calcChain.xml><?xml version="1.0" encoding="utf-8"?>
<calcChain xmlns="http://schemas.openxmlformats.org/spreadsheetml/2006/main">
  <c r="C16" i="11" l="1"/>
  <c r="C13" i="11"/>
  <c r="E13" i="11" s="1"/>
  <c r="C9" i="11"/>
  <c r="E9" i="11" s="1"/>
  <c r="C8" i="11"/>
  <c r="D75" i="11"/>
  <c r="C73" i="11"/>
  <c r="C75" i="11" s="1"/>
  <c r="D59" i="11"/>
  <c r="C59" i="11"/>
  <c r="E58" i="11"/>
  <c r="E57" i="11"/>
  <c r="E56" i="11"/>
  <c r="E55" i="11"/>
  <c r="E54" i="11"/>
  <c r="E53" i="11"/>
  <c r="E52" i="11"/>
  <c r="E51" i="11"/>
  <c r="E50" i="11"/>
  <c r="C41" i="11"/>
  <c r="E41" i="11" s="1"/>
  <c r="D39" i="11"/>
  <c r="C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D21" i="11"/>
  <c r="E20" i="11"/>
  <c r="E19" i="11"/>
  <c r="E18" i="11"/>
  <c r="E17" i="11"/>
  <c r="E16" i="11"/>
  <c r="E15" i="11"/>
  <c r="E14" i="11"/>
  <c r="D12" i="11"/>
  <c r="E11" i="11"/>
  <c r="E10" i="11"/>
  <c r="E8" i="11"/>
  <c r="E7" i="11"/>
  <c r="E6" i="11"/>
  <c r="E5" i="11"/>
  <c r="D42" i="11" l="1"/>
  <c r="D40" i="11"/>
  <c r="C12" i="11"/>
  <c r="E59" i="11"/>
  <c r="E39" i="11"/>
  <c r="E12" i="11"/>
  <c r="E21" i="11"/>
  <c r="C21" i="11"/>
  <c r="C40" i="11" s="1"/>
  <c r="C42" i="11" s="1"/>
  <c r="E40" i="11" l="1"/>
  <c r="E42" i="11"/>
</calcChain>
</file>

<file path=xl/sharedStrings.xml><?xml version="1.0" encoding="utf-8"?>
<sst xmlns="http://schemas.openxmlformats.org/spreadsheetml/2006/main" count="115" uniqueCount="110">
  <si>
    <t>CUENTA</t>
  </si>
  <si>
    <t>CONCEPTOS</t>
  </si>
  <si>
    <t>PRESUPUESTO</t>
  </si>
  <si>
    <t>600,00</t>
  </si>
  <si>
    <t>Compras  farmacia</t>
  </si>
  <si>
    <t>602,10</t>
  </si>
  <si>
    <t>602.50</t>
  </si>
  <si>
    <t>602,90</t>
  </si>
  <si>
    <t>603.00</t>
  </si>
  <si>
    <t>Comestibles y bebidas</t>
  </si>
  <si>
    <t>606.00</t>
  </si>
  <si>
    <t>622,00</t>
  </si>
  <si>
    <t>623.00</t>
  </si>
  <si>
    <t>626</t>
  </si>
  <si>
    <t>627.00</t>
  </si>
  <si>
    <t>628.00</t>
  </si>
  <si>
    <t>629.01</t>
  </si>
  <si>
    <t>Viajes</t>
  </si>
  <si>
    <t>629.2</t>
  </si>
  <si>
    <t>650.13</t>
  </si>
  <si>
    <t>650,30</t>
  </si>
  <si>
    <t>Atenciones  comunitarias</t>
  </si>
  <si>
    <t>650,41</t>
  </si>
  <si>
    <t xml:space="preserve">Vacaciones </t>
  </si>
  <si>
    <t>650,50</t>
  </si>
  <si>
    <t>650,55</t>
  </si>
  <si>
    <t>650,57</t>
  </si>
  <si>
    <t>Libros, suscripciones, videos, cds</t>
  </si>
  <si>
    <t>658,00</t>
  </si>
  <si>
    <t>Donativos</t>
  </si>
  <si>
    <t>659.00</t>
  </si>
  <si>
    <t>Documentos fotografías, visados</t>
  </si>
  <si>
    <t>659.02</t>
  </si>
  <si>
    <t>Culto</t>
  </si>
  <si>
    <t>753.1</t>
  </si>
  <si>
    <t>759.00</t>
  </si>
  <si>
    <t>Comunic. Correo, telefono, internet</t>
  </si>
  <si>
    <t>GASTOS</t>
  </si>
  <si>
    <t xml:space="preserve">Consultas, pruebas medicas,  </t>
  </si>
  <si>
    <t>Combustibles (gas y petrol)</t>
  </si>
  <si>
    <t>Formación inicial</t>
  </si>
  <si>
    <t>Total Compras</t>
  </si>
  <si>
    <t>Servicios exteriores</t>
  </si>
  <si>
    <t xml:space="preserve">Gastos comunitarios y otros </t>
  </si>
  <si>
    <t>Ejercicios y retiros, asistencia esp.</t>
  </si>
  <si>
    <t>REALIZADO</t>
  </si>
  <si>
    <t>Tesoreria</t>
  </si>
  <si>
    <t>Fondo Social</t>
  </si>
  <si>
    <t>ACTIVO</t>
  </si>
  <si>
    <t>PASIVO</t>
  </si>
  <si>
    <t>Limpieza, drogueria y aseo</t>
  </si>
  <si>
    <t>Formacion profesional y permanente</t>
  </si>
  <si>
    <t>Comunic. Bienes Gobierno General</t>
  </si>
  <si>
    <t>ingresos financieros</t>
  </si>
  <si>
    <t xml:space="preserve">Caja de rupias </t>
  </si>
  <si>
    <t>Suministros (electricidad)</t>
  </si>
  <si>
    <t>Gastos personales de hermanas</t>
  </si>
  <si>
    <t>sobre Presup.</t>
  </si>
  <si>
    <t>Ropería de comunidad</t>
  </si>
  <si>
    <t>Pastoral Vocacional - Candidatas</t>
  </si>
  <si>
    <t>S. Presup.</t>
  </si>
  <si>
    <t>Servicios profes. Independ. (arquitecto)</t>
  </si>
  <si>
    <t>Diferencia</t>
  </si>
  <si>
    <t xml:space="preserve">                INGRESOS</t>
  </si>
  <si>
    <t>SUMA TOTAL Gastos Rupias</t>
  </si>
  <si>
    <t xml:space="preserve">SUMA TOTAL Ingresos Rupias </t>
  </si>
  <si>
    <t>TOTAL rupias</t>
  </si>
  <si>
    <t>PRESUPUEST.</t>
  </si>
  <si>
    <t xml:space="preserve">Ingresos menos gastos e inversiones </t>
  </si>
  <si>
    <t>,</t>
  </si>
  <si>
    <t>Prestacion de servicios externos</t>
  </si>
  <si>
    <t>Devoluciones/ayudas - familias candidatas</t>
  </si>
  <si>
    <t>6570669</t>
  </si>
  <si>
    <t>Otros gastos</t>
  </si>
  <si>
    <t>6566000</t>
  </si>
  <si>
    <t>FBM proyecto formacion</t>
  </si>
  <si>
    <t>Diferencia positiva de cambio-actualiz.</t>
  </si>
  <si>
    <t>63000</t>
  </si>
  <si>
    <t>Impuestos y tasas, seguro  Moto</t>
  </si>
  <si>
    <t xml:space="preserve">Tesoreria Total </t>
  </si>
  <si>
    <t xml:space="preserve">TOTAL Gastos e inversiones RUPIAS </t>
  </si>
  <si>
    <t>SBI  (Sr. Sindhu)</t>
  </si>
  <si>
    <t>Cuotas y filiaciones</t>
  </si>
  <si>
    <t>Material oficina e impresos/informatico</t>
  </si>
  <si>
    <t>Otros aprovis. + duracion / otro material</t>
  </si>
  <si>
    <t xml:space="preserve">Donativos  </t>
  </si>
  <si>
    <t>Federal Bank (Sr. Shairilin)</t>
  </si>
  <si>
    <t>Reparaciones y conservación y material</t>
  </si>
  <si>
    <t>Comunic. Bienes cdad Kazhakuttom</t>
  </si>
  <si>
    <t>Devoluciones y otros ingresos</t>
  </si>
  <si>
    <t>Vº  Bº</t>
  </si>
  <si>
    <t xml:space="preserve">    Sr. Elisa Sanchez</t>
  </si>
  <si>
    <t xml:space="preserve">     Economa Local</t>
  </si>
  <si>
    <t xml:space="preserve">                  Sr. Juliana S. Pedro</t>
  </si>
  <si>
    <t xml:space="preserve">                    Superiora Local</t>
  </si>
  <si>
    <t>Compra Inmovilizado</t>
  </si>
  <si>
    <t>20</t>
  </si>
  <si>
    <t>Cuenta Sr. Elisa</t>
  </si>
  <si>
    <t xml:space="preserve">       Comunidad de Shillong - India   Ejercicio 2025</t>
  </si>
  <si>
    <t xml:space="preserve">Relaciones publicas - Public. Atenciones </t>
  </si>
  <si>
    <t xml:space="preserve">Gastos financieros-tasas bancarias </t>
  </si>
  <si>
    <t>Cuenta de Resultados  al 31 de Octubre 2025</t>
  </si>
  <si>
    <t>Pastoral Vocacional                10.120</t>
  </si>
  <si>
    <t>Estudios candidatas                24.669</t>
  </si>
  <si>
    <t>Gastos varios candidatas         10.520</t>
  </si>
  <si>
    <t xml:space="preserve">                Cuenta de Resultados 31 de Octubre 2025</t>
  </si>
  <si>
    <t>Shillong, 31 Octubre de 2025</t>
  </si>
  <si>
    <t>Ingresos menos gastos  62.947,65 Rupias</t>
  </si>
  <si>
    <t>Caja Euro-Rupia  (2.890,5 Eu.)</t>
  </si>
  <si>
    <t xml:space="preserve">                BALANCE de SITUACION  al  31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</si>
</sst>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sz val="15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4" fillId="0" borderId="0" xfId="1" applyFont="1"/>
    <xf numFmtId="0" fontId="5" fillId="0" borderId="0" xfId="0" applyFont="1"/>
    <xf numFmtId="0" fontId="6" fillId="0" borderId="0" xfId="1" applyFont="1"/>
    <xf numFmtId="4" fontId="6" fillId="0" borderId="0" xfId="1" applyNumberFormat="1" applyFont="1"/>
    <xf numFmtId="0" fontId="2" fillId="2" borderId="0" xfId="1" quotePrefix="1" applyFont="1" applyFill="1" applyBorder="1" applyAlignment="1" applyProtection="1">
      <alignment horizontal="left"/>
      <protection locked="0"/>
    </xf>
    <xf numFmtId="0" fontId="2" fillId="2" borderId="0" xfId="1" applyFont="1" applyFill="1" applyBorder="1" applyProtection="1">
      <protection locked="0"/>
    </xf>
    <xf numFmtId="4" fontId="2" fillId="0" borderId="0" xfId="1" applyNumberFormat="1" applyFont="1"/>
    <xf numFmtId="0" fontId="6" fillId="3" borderId="0" xfId="1" applyFont="1" applyFill="1" applyBorder="1"/>
    <xf numFmtId="4" fontId="2" fillId="3" borderId="0" xfId="1" applyNumberFormat="1" applyFont="1" applyFill="1" applyBorder="1"/>
    <xf numFmtId="49" fontId="6" fillId="3" borderId="0" xfId="1" applyNumberFormat="1" applyFont="1" applyFill="1" applyBorder="1" applyAlignment="1" applyProtection="1">
      <alignment horizontal="justify" vertical="center"/>
    </xf>
    <xf numFmtId="0" fontId="2" fillId="3" borderId="0" xfId="1" applyFont="1" applyFill="1" applyBorder="1" applyAlignment="1" applyProtection="1">
      <alignment horizontal="justify" vertical="center"/>
    </xf>
    <xf numFmtId="3" fontId="2" fillId="3" borderId="0" xfId="1" applyNumberFormat="1" applyFont="1" applyFill="1" applyBorder="1"/>
    <xf numFmtId="0" fontId="6" fillId="3" borderId="0" xfId="1" applyFont="1" applyFill="1"/>
    <xf numFmtId="4" fontId="6" fillId="3" borderId="0" xfId="1" applyNumberFormat="1" applyFont="1" applyFill="1"/>
    <xf numFmtId="0" fontId="6" fillId="0" borderId="0" xfId="1" applyFont="1" applyProtection="1"/>
    <xf numFmtId="3" fontId="6" fillId="0" borderId="0" xfId="1" applyNumberFormat="1" applyFont="1" applyProtection="1"/>
    <xf numFmtId="3" fontId="6" fillId="0" borderId="0" xfId="1" applyNumberFormat="1" applyFont="1"/>
    <xf numFmtId="0" fontId="6" fillId="0" borderId="0" xfId="1" applyFont="1" applyAlignment="1" applyProtection="1">
      <alignment horizontal="center" wrapText="1"/>
      <protection locked="0"/>
    </xf>
    <xf numFmtId="0" fontId="3" fillId="2" borderId="3" xfId="1" applyFont="1" applyFill="1" applyBorder="1" applyAlignment="1" applyProtection="1">
      <alignment horizontal="center"/>
    </xf>
    <xf numFmtId="0" fontId="3" fillId="2" borderId="6" xfId="1" applyFont="1" applyFill="1" applyBorder="1" applyAlignment="1" applyProtection="1">
      <alignment horizontal="center"/>
    </xf>
    <xf numFmtId="0" fontId="4" fillId="3" borderId="0" xfId="1" applyFont="1" applyFill="1"/>
    <xf numFmtId="0" fontId="3" fillId="2" borderId="10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4" fillId="0" borderId="8" xfId="1" applyFont="1" applyBorder="1" applyAlignment="1" applyProtection="1">
      <alignment horizontal="justify" vertical="center"/>
    </xf>
    <xf numFmtId="0" fontId="8" fillId="0" borderId="9" xfId="1" applyFont="1" applyBorder="1" applyAlignment="1" applyProtection="1">
      <alignment horizontal="justify" vertical="center"/>
    </xf>
    <xf numFmtId="3" fontId="5" fillId="0" borderId="0" xfId="0" applyNumberFormat="1" applyFont="1"/>
    <xf numFmtId="4" fontId="5" fillId="0" borderId="0" xfId="0" applyNumberFormat="1" applyFont="1"/>
    <xf numFmtId="49" fontId="9" fillId="2" borderId="12" xfId="1" applyNumberFormat="1" applyFont="1" applyFill="1" applyBorder="1" applyAlignment="1">
      <alignment horizontal="center"/>
    </xf>
    <xf numFmtId="49" fontId="9" fillId="2" borderId="17" xfId="1" applyNumberFormat="1" applyFont="1" applyFill="1" applyBorder="1" applyAlignment="1">
      <alignment horizontal="center"/>
    </xf>
    <xf numFmtId="0" fontId="15" fillId="0" borderId="0" xfId="1" applyFont="1" applyAlignment="1" applyProtection="1">
      <alignment horizontal="center" wrapText="1"/>
      <protection locked="0"/>
    </xf>
    <xf numFmtId="15" fontId="2" fillId="0" borderId="0" xfId="1" applyNumberFormat="1" applyFont="1" applyProtection="1"/>
    <xf numFmtId="0" fontId="11" fillId="7" borderId="3" xfId="1" applyFont="1" applyFill="1" applyBorder="1" applyAlignment="1" applyProtection="1">
      <alignment horizontal="center"/>
    </xf>
    <xf numFmtId="3" fontId="12" fillId="6" borderId="5" xfId="1" applyNumberFormat="1" applyFont="1" applyFill="1" applyBorder="1"/>
    <xf numFmtId="0" fontId="3" fillId="7" borderId="3" xfId="1" applyFont="1" applyFill="1" applyBorder="1" applyAlignment="1" applyProtection="1">
      <alignment horizontal="center"/>
    </xf>
    <xf numFmtId="3" fontId="10" fillId="7" borderId="11" xfId="1" applyNumberFormat="1" applyFont="1" applyFill="1" applyBorder="1" applyAlignment="1" applyProtection="1">
      <alignment horizontal="center"/>
    </xf>
    <xf numFmtId="0" fontId="12" fillId="7" borderId="7" xfId="1" applyFont="1" applyFill="1" applyBorder="1" applyAlignment="1" applyProtection="1">
      <alignment horizontal="right" vertical="center"/>
    </xf>
    <xf numFmtId="3" fontId="3" fillId="7" borderId="14" xfId="1" applyNumberFormat="1" applyFont="1" applyFill="1" applyBorder="1" applyAlignment="1" applyProtection="1">
      <alignment horizontal="center"/>
      <protection locked="0"/>
    </xf>
    <xf numFmtId="49" fontId="12" fillId="7" borderId="2" xfId="1" applyNumberFormat="1" applyFont="1" applyFill="1" applyBorder="1" applyAlignment="1" applyProtection="1">
      <alignment horizontal="justify" vertical="center"/>
    </xf>
    <xf numFmtId="0" fontId="16" fillId="0" borderId="0" xfId="1" applyFont="1" applyAlignment="1" applyProtection="1">
      <alignment horizontal="center" wrapText="1"/>
      <protection locked="0"/>
    </xf>
    <xf numFmtId="0" fontId="8" fillId="0" borderId="0" xfId="1" applyFont="1" applyProtection="1"/>
    <xf numFmtId="0" fontId="8" fillId="2" borderId="13" xfId="1" applyFont="1" applyFill="1" applyBorder="1" applyAlignment="1" applyProtection="1">
      <alignment horizontal="left"/>
    </xf>
    <xf numFmtId="0" fontId="9" fillId="2" borderId="12" xfId="1" quotePrefix="1" applyFont="1" applyFill="1" applyBorder="1" applyAlignment="1">
      <alignment horizontal="left"/>
    </xf>
    <xf numFmtId="0" fontId="9" fillId="2" borderId="17" xfId="1" applyFont="1" applyFill="1" applyBorder="1" applyAlignment="1">
      <alignment horizontal="left"/>
    </xf>
    <xf numFmtId="0" fontId="9" fillId="2" borderId="17" xfId="1" quotePrefix="1" applyFont="1" applyFill="1" applyBorder="1" applyAlignment="1">
      <alignment horizontal="left"/>
    </xf>
    <xf numFmtId="0" fontId="12" fillId="6" borderId="17" xfId="1" applyFont="1" applyFill="1" applyBorder="1" applyAlignment="1">
      <alignment horizontal="right"/>
    </xf>
    <xf numFmtId="0" fontId="9" fillId="2" borderId="17" xfId="1" applyFont="1" applyFill="1" applyBorder="1"/>
    <xf numFmtId="0" fontId="9" fillId="3" borderId="17" xfId="1" applyFont="1" applyFill="1" applyBorder="1"/>
    <xf numFmtId="14" fontId="11" fillId="7" borderId="8" xfId="1" applyNumberFormat="1" applyFont="1" applyFill="1" applyBorder="1" applyAlignment="1" applyProtection="1">
      <alignment horizontal="center"/>
      <protection locked="0"/>
    </xf>
    <xf numFmtId="3" fontId="2" fillId="7" borderId="20" xfId="1" applyNumberFormat="1" applyFont="1" applyFill="1" applyBorder="1" applyAlignment="1" applyProtection="1"/>
    <xf numFmtId="3" fontId="11" fillId="7" borderId="3" xfId="1" applyNumberFormat="1" applyFont="1" applyFill="1" applyBorder="1" applyAlignment="1" applyProtection="1">
      <alignment horizontal="center"/>
    </xf>
    <xf numFmtId="3" fontId="12" fillId="7" borderId="8" xfId="1" applyNumberFormat="1" applyFont="1" applyFill="1" applyBorder="1" applyAlignment="1" applyProtection="1">
      <alignment horizontal="center"/>
      <protection locked="0"/>
    </xf>
    <xf numFmtId="3" fontId="9" fillId="5" borderId="4" xfId="1" applyNumberFormat="1" applyFont="1" applyFill="1" applyBorder="1"/>
    <xf numFmtId="3" fontId="12" fillId="6" borderId="4" xfId="1" applyNumberFormat="1" applyFont="1" applyFill="1" applyBorder="1"/>
    <xf numFmtId="49" fontId="2" fillId="7" borderId="21" xfId="1" applyNumberFormat="1" applyFont="1" applyFill="1" applyBorder="1" applyAlignment="1" applyProtection="1">
      <alignment horizontal="justify" vertical="center"/>
    </xf>
    <xf numFmtId="0" fontId="2" fillId="7" borderId="21" xfId="1" applyFont="1" applyFill="1" applyBorder="1" applyAlignment="1" applyProtection="1">
      <alignment horizontal="right" vertical="center"/>
    </xf>
    <xf numFmtId="0" fontId="12" fillId="6" borderId="22" xfId="1" applyFont="1" applyFill="1" applyBorder="1" applyAlignment="1">
      <alignment horizontal="right"/>
    </xf>
    <xf numFmtId="3" fontId="12" fillId="6" borderId="15" xfId="1" applyNumberFormat="1" applyFont="1" applyFill="1" applyBorder="1"/>
    <xf numFmtId="4" fontId="12" fillId="6" borderId="15" xfId="1" applyNumberFormat="1" applyFont="1" applyFill="1" applyBorder="1"/>
    <xf numFmtId="0" fontId="9" fillId="3" borderId="23" xfId="1" applyFont="1" applyFill="1" applyBorder="1" applyAlignment="1">
      <alignment horizontal="left"/>
    </xf>
    <xf numFmtId="3" fontId="9" fillId="3" borderId="4" xfId="1" applyNumberFormat="1" applyFont="1" applyFill="1" applyBorder="1"/>
    <xf numFmtId="0" fontId="2" fillId="7" borderId="16" xfId="1" applyFont="1" applyFill="1" applyBorder="1" applyAlignment="1" applyProtection="1">
      <alignment horizontal="right" vertical="center"/>
    </xf>
    <xf numFmtId="3" fontId="2" fillId="7" borderId="2" xfId="1" applyNumberFormat="1" applyFont="1" applyFill="1" applyBorder="1" applyAlignment="1" applyProtection="1"/>
    <xf numFmtId="0" fontId="7" fillId="2" borderId="0" xfId="1" applyFont="1" applyFill="1" applyBorder="1" applyAlignment="1" applyProtection="1">
      <alignment horizontal="left"/>
      <protection locked="0"/>
    </xf>
    <xf numFmtId="0" fontId="18" fillId="2" borderId="0" xfId="1" quotePrefix="1" applyFont="1" applyFill="1" applyBorder="1" applyAlignment="1" applyProtection="1">
      <alignment horizontal="left"/>
      <protection locked="0"/>
    </xf>
    <xf numFmtId="0" fontId="17" fillId="2" borderId="0" xfId="1" applyFont="1" applyFill="1" applyBorder="1" applyAlignment="1" applyProtection="1">
      <alignment horizontal="left"/>
      <protection locked="0"/>
    </xf>
    <xf numFmtId="0" fontId="9" fillId="2" borderId="24" xfId="1" applyFont="1" applyFill="1" applyBorder="1" applyAlignment="1">
      <alignment horizontal="left"/>
    </xf>
    <xf numFmtId="0" fontId="9" fillId="2" borderId="25" xfId="1" applyFont="1" applyFill="1" applyBorder="1" applyAlignment="1">
      <alignment horizontal="left"/>
    </xf>
    <xf numFmtId="49" fontId="9" fillId="2" borderId="5" xfId="1" applyNumberFormat="1" applyFont="1" applyFill="1" applyBorder="1"/>
    <xf numFmtId="49" fontId="9" fillId="2" borderId="15" xfId="1" applyNumberFormat="1" applyFont="1" applyFill="1" applyBorder="1"/>
    <xf numFmtId="49" fontId="9" fillId="2" borderId="4" xfId="1" applyNumberFormat="1" applyFont="1" applyFill="1" applyBorder="1"/>
    <xf numFmtId="0" fontId="9" fillId="2" borderId="27" xfId="1" applyFont="1" applyFill="1" applyBorder="1" applyAlignment="1">
      <alignment horizontal="left"/>
    </xf>
    <xf numFmtId="0" fontId="4" fillId="0" borderId="26" xfId="1" applyFont="1" applyBorder="1" applyAlignment="1" applyProtection="1">
      <alignment horizontal="justify" vertical="center"/>
    </xf>
    <xf numFmtId="0" fontId="11" fillId="4" borderId="3" xfId="1" applyFont="1" applyFill="1" applyBorder="1" applyAlignment="1" applyProtection="1">
      <alignment horizontal="center"/>
    </xf>
    <xf numFmtId="0" fontId="11" fillId="4" borderId="8" xfId="1" applyFont="1" applyFill="1" applyBorder="1" applyAlignment="1" applyProtection="1">
      <alignment horizontal="center"/>
      <protection locked="0"/>
    </xf>
    <xf numFmtId="0" fontId="9" fillId="0" borderId="28" xfId="1" applyFont="1" applyBorder="1" applyAlignment="1" applyProtection="1">
      <alignment horizontal="justify" vertical="center"/>
    </xf>
    <xf numFmtId="0" fontId="9" fillId="8" borderId="17" xfId="1" applyFont="1" applyFill="1" applyBorder="1"/>
    <xf numFmtId="0" fontId="6" fillId="8" borderId="0" xfId="1" applyFont="1" applyFill="1" applyProtection="1"/>
    <xf numFmtId="3" fontId="6" fillId="0" borderId="0" xfId="1" applyNumberFormat="1" applyFont="1" applyBorder="1" applyAlignment="1">
      <alignment horizontal="center"/>
    </xf>
    <xf numFmtId="4" fontId="14" fillId="0" borderId="0" xfId="1" applyNumberFormat="1" applyFont="1" applyBorder="1"/>
    <xf numFmtId="4" fontId="6" fillId="0" borderId="0" xfId="1" applyNumberFormat="1" applyFont="1" applyBorder="1"/>
    <xf numFmtId="0" fontId="15" fillId="4" borderId="29" xfId="1" applyFont="1" applyFill="1" applyBorder="1" applyAlignment="1" applyProtection="1">
      <alignment horizontal="center" wrapText="1"/>
      <protection locked="0"/>
    </xf>
    <xf numFmtId="0" fontId="2" fillId="4" borderId="30" xfId="1" applyFont="1" applyFill="1" applyBorder="1" applyAlignment="1" applyProtection="1">
      <alignment horizontal="center"/>
    </xf>
    <xf numFmtId="4" fontId="2" fillId="4" borderId="31" xfId="1" applyNumberFormat="1" applyFont="1" applyFill="1" applyBorder="1" applyAlignment="1">
      <alignment horizontal="center"/>
    </xf>
    <xf numFmtId="0" fontId="6" fillId="0" borderId="32" xfId="1" applyFont="1" applyBorder="1" applyAlignment="1" applyProtection="1">
      <alignment horizontal="left" wrapText="1"/>
      <protection locked="0"/>
    </xf>
    <xf numFmtId="0" fontId="2" fillId="0" borderId="32" xfId="1" applyFont="1" applyBorder="1"/>
    <xf numFmtId="0" fontId="6" fillId="0" borderId="32" xfId="1" applyFont="1" applyBorder="1" applyAlignment="1">
      <alignment wrapText="1"/>
    </xf>
    <xf numFmtId="0" fontId="6" fillId="0" borderId="32" xfId="1" applyFont="1" applyBorder="1"/>
    <xf numFmtId="0" fontId="2" fillId="0" borderId="32" xfId="1" applyFont="1" applyBorder="1" applyAlignment="1">
      <alignment horizontal="right"/>
    </xf>
    <xf numFmtId="0" fontId="2" fillId="7" borderId="34" xfId="1" applyFont="1" applyFill="1" applyBorder="1" applyAlignment="1">
      <alignment horizontal="right"/>
    </xf>
    <xf numFmtId="3" fontId="6" fillId="7" borderId="4" xfId="1" applyNumberFormat="1" applyFont="1" applyFill="1" applyBorder="1"/>
    <xf numFmtId="3" fontId="6" fillId="7" borderId="5" xfId="1" applyNumberFormat="1" applyFont="1" applyFill="1" applyBorder="1"/>
    <xf numFmtId="3" fontId="6" fillId="7" borderId="15" xfId="1" applyNumberFormat="1" applyFont="1" applyFill="1" applyBorder="1"/>
    <xf numFmtId="0" fontId="12" fillId="7" borderId="8" xfId="1" applyFont="1" applyFill="1" applyBorder="1" applyAlignment="1" applyProtection="1">
      <alignment horizontal="center"/>
      <protection locked="0"/>
    </xf>
    <xf numFmtId="3" fontId="6" fillId="3" borderId="0" xfId="1" applyNumberFormat="1" applyFont="1" applyFill="1" applyProtection="1"/>
    <xf numFmtId="3" fontId="6" fillId="3" borderId="0" xfId="1" applyNumberFormat="1" applyFont="1" applyFill="1"/>
    <xf numFmtId="4" fontId="14" fillId="0" borderId="1" xfId="1" applyNumberFormat="1" applyFont="1" applyBorder="1" applyProtection="1"/>
    <xf numFmtId="4" fontId="14" fillId="0" borderId="33" xfId="1" applyNumberFormat="1" applyFont="1" applyBorder="1"/>
    <xf numFmtId="4" fontId="14" fillId="0" borderId="1" xfId="1" applyNumberFormat="1" applyFont="1" applyBorder="1"/>
    <xf numFmtId="4" fontId="6" fillId="0" borderId="33" xfId="1" applyNumberFormat="1" applyFont="1" applyBorder="1"/>
    <xf numFmtId="4" fontId="13" fillId="0" borderId="1" xfId="1" applyNumberFormat="1" applyFont="1" applyBorder="1"/>
    <xf numFmtId="4" fontId="2" fillId="7" borderId="35" xfId="1" applyNumberFormat="1" applyFont="1" applyFill="1" applyBorder="1"/>
    <xf numFmtId="4" fontId="2" fillId="7" borderId="36" xfId="1" applyNumberFormat="1" applyFont="1" applyFill="1" applyBorder="1"/>
    <xf numFmtId="4" fontId="9" fillId="5" borderId="26" xfId="1" applyNumberFormat="1" applyFont="1" applyFill="1" applyBorder="1" applyAlignment="1" applyProtection="1">
      <alignment horizontal="right"/>
      <protection locked="0"/>
    </xf>
    <xf numFmtId="4" fontId="9" fillId="4" borderId="26" xfId="1" applyNumberFormat="1" applyFont="1" applyFill="1" applyBorder="1" applyAlignment="1" applyProtection="1">
      <alignment horizontal="right"/>
      <protection locked="0"/>
    </xf>
    <xf numFmtId="4" fontId="9" fillId="5" borderId="18" xfId="1" applyNumberFormat="1" applyFont="1" applyFill="1" applyBorder="1"/>
    <xf numFmtId="4" fontId="9" fillId="5" borderId="4" xfId="1" applyNumberFormat="1" applyFont="1" applyFill="1" applyBorder="1"/>
    <xf numFmtId="4" fontId="9" fillId="4" borderId="4" xfId="1" applyNumberFormat="1" applyFont="1" applyFill="1" applyBorder="1"/>
    <xf numFmtId="4" fontId="9" fillId="5" borderId="5" xfId="1" applyNumberFormat="1" applyFont="1" applyFill="1" applyBorder="1"/>
    <xf numFmtId="4" fontId="9" fillId="4" borderId="5" xfId="1" applyNumberFormat="1" applyFont="1" applyFill="1" applyBorder="1"/>
    <xf numFmtId="4" fontId="9" fillId="5" borderId="15" xfId="1" applyNumberFormat="1" applyFont="1" applyFill="1" applyBorder="1"/>
    <xf numFmtId="4" fontId="9" fillId="4" borderId="15" xfId="1" applyNumberFormat="1" applyFont="1" applyFill="1" applyBorder="1"/>
    <xf numFmtId="4" fontId="12" fillId="7" borderId="2" xfId="1" applyNumberFormat="1" applyFont="1" applyFill="1" applyBorder="1"/>
    <xf numFmtId="4" fontId="12" fillId="7" borderId="19" xfId="1" applyNumberFormat="1" applyFont="1" applyFill="1" applyBorder="1"/>
    <xf numFmtId="4" fontId="9" fillId="5" borderId="3" xfId="1" applyNumberFormat="1" applyFont="1" applyFill="1" applyBorder="1"/>
    <xf numFmtId="4" fontId="12" fillId="6" borderId="5" xfId="1" applyNumberFormat="1" applyFont="1" applyFill="1" applyBorder="1"/>
    <xf numFmtId="4" fontId="12" fillId="6" borderId="20" xfId="1" applyNumberFormat="1" applyFont="1" applyFill="1" applyBorder="1"/>
    <xf numFmtId="4" fontId="2" fillId="7" borderId="2" xfId="1" applyNumberFormat="1" applyFont="1" applyFill="1" applyBorder="1" applyAlignment="1" applyProtection="1"/>
    <xf numFmtId="4" fontId="9" fillId="3" borderId="4" xfId="1" applyNumberFormat="1" applyFont="1" applyFill="1" applyBorder="1"/>
    <xf numFmtId="4" fontId="2" fillId="7" borderId="20" xfId="1" applyNumberFormat="1" applyFont="1" applyFill="1" applyBorder="1" applyAlignment="1" applyProtection="1"/>
    <xf numFmtId="0" fontId="6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8"/>
  <sheetViews>
    <sheetView tabSelected="1" workbookViewId="0">
      <selection activeCell="G6" sqref="G6"/>
    </sheetView>
  </sheetViews>
  <sheetFormatPr baseColWidth="10" defaultColWidth="9.1796875" defaultRowHeight="16.5" x14ac:dyDescent="0.35"/>
  <cols>
    <col min="1" max="1" width="10.54296875" style="2" customWidth="1"/>
    <col min="2" max="2" width="37.453125" style="2" customWidth="1"/>
    <col min="3" max="3" width="14.81640625" style="2" customWidth="1"/>
    <col min="4" max="4" width="13.453125" style="27" customWidth="1"/>
    <col min="5" max="5" width="13.453125" style="26" customWidth="1"/>
    <col min="6" max="6" width="16.1796875" style="2" customWidth="1"/>
    <col min="7" max="7" width="12" style="2" customWidth="1"/>
    <col min="8" max="8" width="13.81640625" style="2" customWidth="1"/>
    <col min="9" max="16384" width="9.1796875" style="2"/>
  </cols>
  <sheetData>
    <row r="1" spans="1:11" ht="36.75" customHeight="1" x14ac:dyDescent="0.55000000000000004">
      <c r="A1" s="65" t="s">
        <v>98</v>
      </c>
      <c r="B1" s="64"/>
      <c r="C1" s="6"/>
      <c r="D1" s="4"/>
      <c r="E1" s="17"/>
      <c r="F1" s="3"/>
      <c r="G1" s="3"/>
      <c r="H1" s="3"/>
      <c r="I1" s="4"/>
    </row>
    <row r="2" spans="1:11" ht="23" thickBot="1" x14ac:dyDescent="0.5">
      <c r="A2" s="5"/>
      <c r="B2" s="63" t="s">
        <v>101</v>
      </c>
      <c r="C2" s="6"/>
      <c r="D2" s="4"/>
      <c r="E2" s="17"/>
      <c r="F2" s="3"/>
      <c r="G2" s="3"/>
      <c r="H2" s="3"/>
      <c r="I2" s="4"/>
    </row>
    <row r="3" spans="1:11" x14ac:dyDescent="0.35">
      <c r="A3" s="22" t="s">
        <v>0</v>
      </c>
      <c r="B3" s="22" t="s">
        <v>69</v>
      </c>
      <c r="C3" s="32" t="s">
        <v>45</v>
      </c>
      <c r="D3" s="73" t="s">
        <v>67</v>
      </c>
      <c r="E3" s="50" t="s">
        <v>62</v>
      </c>
      <c r="F3" s="1"/>
      <c r="G3" s="3"/>
      <c r="H3" s="3"/>
      <c r="I3" s="3"/>
    </row>
    <row r="4" spans="1:11" ht="18" thickBot="1" x14ac:dyDescent="0.4">
      <c r="A4" s="23"/>
      <c r="B4" s="41" t="s">
        <v>37</v>
      </c>
      <c r="C4" s="48">
        <v>45961</v>
      </c>
      <c r="D4" s="74">
        <v>2025</v>
      </c>
      <c r="E4" s="51" t="s">
        <v>60</v>
      </c>
      <c r="F4" s="3"/>
      <c r="G4" s="3"/>
      <c r="H4" s="3"/>
      <c r="I4" s="3"/>
    </row>
    <row r="5" spans="1:11" ht="16" customHeight="1" x14ac:dyDescent="0.35">
      <c r="A5" s="28" t="s">
        <v>3</v>
      </c>
      <c r="B5" s="42" t="s">
        <v>4</v>
      </c>
      <c r="C5" s="114">
        <v>56749</v>
      </c>
      <c r="D5" s="90">
        <v>40000</v>
      </c>
      <c r="E5" s="52">
        <f>D5-C5</f>
        <v>-16749</v>
      </c>
      <c r="F5" s="3"/>
      <c r="G5" s="3"/>
      <c r="H5" s="3"/>
      <c r="I5" s="3"/>
    </row>
    <row r="6" spans="1:11" ht="16" customHeight="1" x14ac:dyDescent="0.35">
      <c r="A6" s="29" t="s">
        <v>5</v>
      </c>
      <c r="B6" s="43" t="s">
        <v>39</v>
      </c>
      <c r="C6" s="108">
        <v>11395</v>
      </c>
      <c r="D6" s="91">
        <v>40000</v>
      </c>
      <c r="E6" s="52">
        <f t="shared" ref="E6:E38" si="0">D6-C6</f>
        <v>28605</v>
      </c>
      <c r="F6" s="3"/>
      <c r="G6" s="3"/>
      <c r="H6" s="3"/>
      <c r="I6" s="3"/>
    </row>
    <row r="7" spans="1:11" ht="16" customHeight="1" x14ac:dyDescent="0.35">
      <c r="A7" s="29"/>
      <c r="B7" s="43" t="s">
        <v>50</v>
      </c>
      <c r="C7" s="108">
        <v>19762.060000000001</v>
      </c>
      <c r="D7" s="91">
        <v>35000</v>
      </c>
      <c r="E7" s="52">
        <f t="shared" si="0"/>
        <v>15237.939999999999</v>
      </c>
      <c r="F7" s="3"/>
      <c r="G7" s="3"/>
      <c r="H7" s="3"/>
      <c r="I7" s="3"/>
    </row>
    <row r="8" spans="1:11" ht="16" customHeight="1" x14ac:dyDescent="0.35">
      <c r="A8" s="29" t="s">
        <v>6</v>
      </c>
      <c r="B8" s="43" t="s">
        <v>83</v>
      </c>
      <c r="C8" s="108">
        <f>9470+5980</f>
        <v>15450</v>
      </c>
      <c r="D8" s="91">
        <v>30000</v>
      </c>
      <c r="E8" s="52">
        <f t="shared" si="0"/>
        <v>14550</v>
      </c>
      <c r="F8" s="3"/>
      <c r="G8" s="3"/>
      <c r="H8" s="3"/>
      <c r="I8" s="3"/>
    </row>
    <row r="9" spans="1:11" ht="16" customHeight="1" x14ac:dyDescent="0.35">
      <c r="A9" s="29" t="s">
        <v>7</v>
      </c>
      <c r="B9" s="44" t="s">
        <v>84</v>
      </c>
      <c r="C9" s="108">
        <f>2248+15619</f>
        <v>17867</v>
      </c>
      <c r="D9" s="91">
        <v>30000</v>
      </c>
      <c r="E9" s="52">
        <f t="shared" si="0"/>
        <v>12133</v>
      </c>
      <c r="F9" s="3"/>
      <c r="G9" s="3"/>
      <c r="H9" s="3"/>
      <c r="I9" s="3"/>
    </row>
    <row r="10" spans="1:11" ht="16" customHeight="1" x14ac:dyDescent="0.35">
      <c r="A10" s="29" t="s">
        <v>8</v>
      </c>
      <c r="B10" s="43" t="s">
        <v>9</v>
      </c>
      <c r="C10" s="108">
        <v>300789.53000000003</v>
      </c>
      <c r="D10" s="91">
        <v>500000</v>
      </c>
      <c r="E10" s="52">
        <f t="shared" si="0"/>
        <v>199210.46999999997</v>
      </c>
      <c r="F10" s="3"/>
      <c r="G10" s="3"/>
      <c r="H10" s="3"/>
      <c r="I10" s="3"/>
    </row>
    <row r="11" spans="1:11" ht="16" customHeight="1" x14ac:dyDescent="0.35">
      <c r="A11" s="29" t="s">
        <v>10</v>
      </c>
      <c r="B11" s="43" t="s">
        <v>58</v>
      </c>
      <c r="C11" s="108">
        <v>4720</v>
      </c>
      <c r="D11" s="92">
        <v>30000</v>
      </c>
      <c r="E11" s="52">
        <f t="shared" si="0"/>
        <v>25280</v>
      </c>
      <c r="F11" s="3"/>
      <c r="G11" s="3"/>
      <c r="H11" s="3"/>
      <c r="I11" s="3"/>
    </row>
    <row r="12" spans="1:11" ht="16" customHeight="1" x14ac:dyDescent="0.35">
      <c r="A12" s="29"/>
      <c r="B12" s="45" t="s">
        <v>41</v>
      </c>
      <c r="C12" s="115">
        <f>SUM(C5:C11)</f>
        <v>426732.59</v>
      </c>
      <c r="D12" s="33">
        <f>SUM(D5:D11)</f>
        <v>705000</v>
      </c>
      <c r="E12" s="53">
        <f>SUM(E5:E11)</f>
        <v>278267.40999999997</v>
      </c>
      <c r="F12" s="3"/>
      <c r="G12" s="3"/>
      <c r="H12" s="3"/>
      <c r="I12" s="3"/>
    </row>
    <row r="13" spans="1:11" ht="16" customHeight="1" x14ac:dyDescent="0.35">
      <c r="A13" s="29" t="s">
        <v>11</v>
      </c>
      <c r="B13" s="43" t="s">
        <v>87</v>
      </c>
      <c r="C13" s="108">
        <f>18875+38620</f>
        <v>57495</v>
      </c>
      <c r="D13" s="90">
        <v>150000</v>
      </c>
      <c r="E13" s="52">
        <f t="shared" si="0"/>
        <v>92505</v>
      </c>
      <c r="F13" s="3"/>
      <c r="G13" s="3"/>
      <c r="H13" s="3"/>
      <c r="I13" s="3"/>
    </row>
    <row r="14" spans="1:11" ht="16" customHeight="1" x14ac:dyDescent="0.35">
      <c r="A14" s="29" t="s">
        <v>12</v>
      </c>
      <c r="B14" s="43" t="s">
        <v>61</v>
      </c>
      <c r="C14" s="108">
        <v>30000</v>
      </c>
      <c r="D14" s="91">
        <v>30000</v>
      </c>
      <c r="E14" s="52">
        <f t="shared" si="0"/>
        <v>0</v>
      </c>
      <c r="F14" s="3"/>
      <c r="G14" s="3"/>
      <c r="H14" s="3"/>
      <c r="I14" s="3"/>
    </row>
    <row r="15" spans="1:11" ht="16" customHeight="1" x14ac:dyDescent="0.35">
      <c r="A15" s="29" t="s">
        <v>13</v>
      </c>
      <c r="B15" s="43" t="s">
        <v>100</v>
      </c>
      <c r="C15" s="108">
        <v>655.6</v>
      </c>
      <c r="D15" s="91">
        <v>1000</v>
      </c>
      <c r="E15" s="52">
        <f t="shared" si="0"/>
        <v>344.4</v>
      </c>
      <c r="F15" s="3"/>
      <c r="G15" s="3"/>
      <c r="H15" s="3"/>
      <c r="I15" s="3"/>
      <c r="J15" s="3"/>
      <c r="K15" s="3"/>
    </row>
    <row r="16" spans="1:11" ht="16" customHeight="1" x14ac:dyDescent="0.35">
      <c r="A16" s="29" t="s">
        <v>14</v>
      </c>
      <c r="B16" s="44" t="s">
        <v>99</v>
      </c>
      <c r="C16" s="108">
        <f>12000+5655</f>
        <v>17655</v>
      </c>
      <c r="D16" s="91">
        <v>30000</v>
      </c>
      <c r="E16" s="52">
        <f t="shared" si="0"/>
        <v>12345</v>
      </c>
      <c r="F16" s="3"/>
      <c r="G16" s="3"/>
      <c r="H16" s="3"/>
      <c r="I16" s="3"/>
      <c r="J16" s="3"/>
      <c r="K16" s="3"/>
    </row>
    <row r="17" spans="1:11" ht="16" customHeight="1" x14ac:dyDescent="0.35">
      <c r="A17" s="29" t="s">
        <v>15</v>
      </c>
      <c r="B17" s="43" t="s">
        <v>55</v>
      </c>
      <c r="C17" s="108">
        <v>36011.9</v>
      </c>
      <c r="D17" s="91">
        <v>85000</v>
      </c>
      <c r="E17" s="52">
        <f t="shared" si="0"/>
        <v>48988.1</v>
      </c>
      <c r="F17" s="3"/>
      <c r="G17" s="3"/>
      <c r="H17" s="3"/>
      <c r="I17" s="3"/>
      <c r="J17" s="3"/>
      <c r="K17" s="3"/>
    </row>
    <row r="18" spans="1:11" ht="16" customHeight="1" x14ac:dyDescent="0.35">
      <c r="A18" s="29" t="s">
        <v>16</v>
      </c>
      <c r="B18" s="44" t="s">
        <v>17</v>
      </c>
      <c r="C18" s="108">
        <v>149254</v>
      </c>
      <c r="D18" s="91">
        <v>350000</v>
      </c>
      <c r="E18" s="52">
        <f t="shared" si="0"/>
        <v>200746</v>
      </c>
      <c r="F18" s="3"/>
      <c r="G18" s="3"/>
      <c r="H18" s="3"/>
      <c r="I18" s="3"/>
      <c r="J18" s="3"/>
      <c r="K18" s="3"/>
    </row>
    <row r="19" spans="1:11" ht="16" customHeight="1" x14ac:dyDescent="0.35">
      <c r="A19" s="29" t="s">
        <v>18</v>
      </c>
      <c r="B19" s="46" t="s">
        <v>36</v>
      </c>
      <c r="C19" s="108">
        <v>37740.199999999997</v>
      </c>
      <c r="D19" s="91">
        <v>30000</v>
      </c>
      <c r="E19" s="52">
        <f t="shared" si="0"/>
        <v>-7740.1999999999971</v>
      </c>
      <c r="F19" s="13"/>
      <c r="G19" s="13"/>
      <c r="H19" s="13"/>
      <c r="I19" s="3"/>
      <c r="J19" s="3"/>
      <c r="K19" s="3"/>
    </row>
    <row r="20" spans="1:11" ht="16" customHeight="1" x14ac:dyDescent="0.35">
      <c r="A20" s="29" t="s">
        <v>77</v>
      </c>
      <c r="B20" s="46" t="s">
        <v>78</v>
      </c>
      <c r="C20" s="108">
        <v>0</v>
      </c>
      <c r="D20" s="92">
        <v>2000</v>
      </c>
      <c r="E20" s="52">
        <f t="shared" si="0"/>
        <v>2000</v>
      </c>
      <c r="F20" s="13"/>
      <c r="G20" s="13"/>
      <c r="H20" s="13"/>
      <c r="I20" s="3"/>
      <c r="J20" s="3"/>
      <c r="K20" s="3"/>
    </row>
    <row r="21" spans="1:11" ht="16" customHeight="1" x14ac:dyDescent="0.35">
      <c r="A21" s="29"/>
      <c r="B21" s="45" t="s">
        <v>42</v>
      </c>
      <c r="C21" s="115">
        <f>SUM(C13:C20)</f>
        <v>328811.7</v>
      </c>
      <c r="D21" s="33">
        <f>SUM(D13:D20)</f>
        <v>678000</v>
      </c>
      <c r="E21" s="53">
        <f>SUM(E13:E20)</f>
        <v>349188.3</v>
      </c>
      <c r="F21" s="13"/>
      <c r="G21" s="13"/>
      <c r="H21" s="13"/>
      <c r="I21" s="3"/>
      <c r="J21" s="3"/>
      <c r="K21" s="3"/>
    </row>
    <row r="22" spans="1:11" ht="16" customHeight="1" x14ac:dyDescent="0.35">
      <c r="A22" s="29" t="s">
        <v>19</v>
      </c>
      <c r="B22" s="44" t="s">
        <v>38</v>
      </c>
      <c r="C22" s="108">
        <v>72857</v>
      </c>
      <c r="D22" s="90">
        <v>55000</v>
      </c>
      <c r="E22" s="52">
        <f t="shared" si="0"/>
        <v>-17857</v>
      </c>
      <c r="F22" s="3"/>
      <c r="G22" s="3"/>
      <c r="H22" s="3"/>
      <c r="I22" s="3"/>
      <c r="J22" s="3"/>
      <c r="K22" s="3"/>
    </row>
    <row r="23" spans="1:11" ht="16" customHeight="1" x14ac:dyDescent="0.35">
      <c r="A23" s="29"/>
      <c r="B23" s="43" t="s">
        <v>56</v>
      </c>
      <c r="C23" s="108">
        <v>27573</v>
      </c>
      <c r="D23" s="91">
        <v>49000</v>
      </c>
      <c r="E23" s="52">
        <f t="shared" si="0"/>
        <v>21427</v>
      </c>
      <c r="F23" s="3"/>
      <c r="G23" s="3"/>
      <c r="H23" s="3"/>
      <c r="I23" s="3"/>
      <c r="J23" s="3"/>
      <c r="K23" s="3"/>
    </row>
    <row r="24" spans="1:11" ht="16" customHeight="1" x14ac:dyDescent="0.35">
      <c r="A24" s="29" t="s">
        <v>20</v>
      </c>
      <c r="B24" s="44" t="s">
        <v>21</v>
      </c>
      <c r="C24" s="108">
        <v>2780</v>
      </c>
      <c r="D24" s="91">
        <v>30000</v>
      </c>
      <c r="E24" s="52">
        <f t="shared" si="0"/>
        <v>27220</v>
      </c>
      <c r="F24" s="3"/>
      <c r="G24" s="3"/>
      <c r="H24" s="3"/>
      <c r="I24" s="3"/>
      <c r="J24" s="3"/>
      <c r="K24" s="7"/>
    </row>
    <row r="25" spans="1:11" ht="16" customHeight="1" x14ac:dyDescent="0.35">
      <c r="A25" s="29" t="s">
        <v>22</v>
      </c>
      <c r="B25" s="44" t="s">
        <v>23</v>
      </c>
      <c r="C25" s="108">
        <v>10000</v>
      </c>
      <c r="D25" s="91">
        <v>200000</v>
      </c>
      <c r="E25" s="52">
        <f t="shared" si="0"/>
        <v>190000</v>
      </c>
      <c r="F25" s="3"/>
      <c r="G25" s="3"/>
      <c r="H25" s="3"/>
      <c r="I25" s="3"/>
      <c r="J25" s="7"/>
      <c r="K25" s="3"/>
    </row>
    <row r="26" spans="1:11" ht="16" customHeight="1" x14ac:dyDescent="0.35">
      <c r="A26" s="29" t="s">
        <v>24</v>
      </c>
      <c r="B26" s="43" t="s">
        <v>51</v>
      </c>
      <c r="C26" s="108">
        <v>212720</v>
      </c>
      <c r="D26" s="91">
        <v>100000</v>
      </c>
      <c r="E26" s="52">
        <f t="shared" si="0"/>
        <v>-112720</v>
      </c>
      <c r="F26" s="3"/>
      <c r="G26" s="3"/>
      <c r="H26" s="3"/>
      <c r="I26" s="3"/>
      <c r="J26" s="7"/>
      <c r="K26" s="3"/>
    </row>
    <row r="27" spans="1:11" ht="16" customHeight="1" x14ac:dyDescent="0.35">
      <c r="A27" s="29" t="s">
        <v>24</v>
      </c>
      <c r="B27" s="47" t="s">
        <v>40</v>
      </c>
      <c r="C27" s="108">
        <v>12780</v>
      </c>
      <c r="D27" s="91">
        <v>0</v>
      </c>
      <c r="E27" s="52">
        <f t="shared" si="0"/>
        <v>-12780</v>
      </c>
      <c r="F27" s="3"/>
      <c r="G27" s="3"/>
      <c r="H27" s="3"/>
      <c r="I27" s="3"/>
      <c r="J27" s="3"/>
      <c r="K27" s="4"/>
    </row>
    <row r="28" spans="1:11" ht="16" customHeight="1" x14ac:dyDescent="0.35">
      <c r="A28" s="29" t="s">
        <v>25</v>
      </c>
      <c r="B28" s="44" t="s">
        <v>44</v>
      </c>
      <c r="C28" s="108">
        <v>30900</v>
      </c>
      <c r="D28" s="91">
        <v>50000</v>
      </c>
      <c r="E28" s="52">
        <f t="shared" si="0"/>
        <v>19100</v>
      </c>
      <c r="F28" s="3"/>
      <c r="G28" s="3"/>
      <c r="H28" s="8"/>
      <c r="I28" s="9"/>
      <c r="J28" s="9"/>
      <c r="K28" s="9"/>
    </row>
    <row r="29" spans="1:11" ht="16" customHeight="1" x14ac:dyDescent="0.35">
      <c r="A29" s="29" t="s">
        <v>26</v>
      </c>
      <c r="B29" s="46" t="s">
        <v>27</v>
      </c>
      <c r="C29" s="108">
        <v>5415</v>
      </c>
      <c r="D29" s="91">
        <v>25000</v>
      </c>
      <c r="E29" s="52">
        <f t="shared" si="0"/>
        <v>19585</v>
      </c>
      <c r="F29" s="3"/>
      <c r="G29" s="3"/>
      <c r="H29" s="3"/>
      <c r="I29" s="4"/>
      <c r="J29" s="3"/>
      <c r="K29" s="3"/>
    </row>
    <row r="30" spans="1:11" ht="16" customHeight="1" x14ac:dyDescent="0.35">
      <c r="A30" s="29" t="s">
        <v>74</v>
      </c>
      <c r="B30" s="76" t="s">
        <v>59</v>
      </c>
      <c r="C30" s="108">
        <v>45309</v>
      </c>
      <c r="D30" s="91">
        <v>300000</v>
      </c>
      <c r="E30" s="52">
        <f t="shared" si="0"/>
        <v>254691</v>
      </c>
      <c r="F30" s="3"/>
      <c r="G30" s="3"/>
      <c r="H30" s="3"/>
      <c r="I30" s="4"/>
      <c r="J30" s="3"/>
      <c r="K30" s="3"/>
    </row>
    <row r="31" spans="1:11" ht="16" customHeight="1" x14ac:dyDescent="0.35">
      <c r="A31" s="29"/>
      <c r="B31" s="47" t="s">
        <v>102</v>
      </c>
      <c r="C31" s="108"/>
      <c r="D31" s="91">
        <v>0</v>
      </c>
      <c r="E31" s="52">
        <f t="shared" si="0"/>
        <v>0</v>
      </c>
      <c r="F31" s="3"/>
      <c r="G31" s="3"/>
      <c r="H31" s="3"/>
      <c r="I31" s="4"/>
      <c r="J31" s="3"/>
      <c r="K31" s="3"/>
    </row>
    <row r="32" spans="1:11" ht="16" customHeight="1" x14ac:dyDescent="0.35">
      <c r="A32" s="29"/>
      <c r="B32" s="47" t="s">
        <v>103</v>
      </c>
      <c r="C32" s="108"/>
      <c r="D32" s="91">
        <v>0</v>
      </c>
      <c r="E32" s="52">
        <f t="shared" si="0"/>
        <v>0</v>
      </c>
      <c r="F32" s="3"/>
      <c r="G32" s="3"/>
      <c r="H32" s="3"/>
      <c r="I32" s="4"/>
      <c r="J32" s="3"/>
      <c r="K32" s="3"/>
    </row>
    <row r="33" spans="1:11" ht="16" customHeight="1" x14ac:dyDescent="0.35">
      <c r="A33" s="29"/>
      <c r="B33" s="47" t="s">
        <v>104</v>
      </c>
      <c r="C33" s="108"/>
      <c r="D33" s="91">
        <v>0</v>
      </c>
      <c r="E33" s="52">
        <f t="shared" si="0"/>
        <v>0</v>
      </c>
      <c r="F33" s="3"/>
      <c r="G33" s="3"/>
      <c r="H33" s="3"/>
      <c r="I33" s="4"/>
      <c r="J33" s="3"/>
      <c r="K33" s="3"/>
    </row>
    <row r="34" spans="1:11" ht="16" customHeight="1" x14ac:dyDescent="0.35">
      <c r="A34" s="29" t="s">
        <v>28</v>
      </c>
      <c r="B34" s="46" t="s">
        <v>29</v>
      </c>
      <c r="C34" s="108">
        <v>0</v>
      </c>
      <c r="D34" s="91">
        <v>10000</v>
      </c>
      <c r="E34" s="52">
        <f t="shared" si="0"/>
        <v>10000</v>
      </c>
      <c r="F34" s="3"/>
      <c r="G34" s="3"/>
      <c r="H34" s="3"/>
      <c r="I34" s="3"/>
      <c r="J34" s="3"/>
      <c r="K34" s="3"/>
    </row>
    <row r="35" spans="1:11" ht="16" customHeight="1" x14ac:dyDescent="0.35">
      <c r="A35" s="29" t="s">
        <v>30</v>
      </c>
      <c r="B35" s="46" t="s">
        <v>31</v>
      </c>
      <c r="C35" s="108">
        <v>29317</v>
      </c>
      <c r="D35" s="91">
        <v>40000</v>
      </c>
      <c r="E35" s="52">
        <f t="shared" si="0"/>
        <v>10683</v>
      </c>
      <c r="F35" s="3"/>
      <c r="G35" s="3"/>
      <c r="H35" s="3"/>
      <c r="I35" s="3"/>
      <c r="J35" s="3"/>
      <c r="K35" s="3"/>
    </row>
    <row r="36" spans="1:11" ht="16" customHeight="1" x14ac:dyDescent="0.35">
      <c r="A36" s="29"/>
      <c r="B36" s="46" t="s">
        <v>82</v>
      </c>
      <c r="C36" s="108">
        <v>900</v>
      </c>
      <c r="D36" s="91">
        <v>0</v>
      </c>
      <c r="E36" s="52">
        <f t="shared" si="0"/>
        <v>-900</v>
      </c>
      <c r="F36" s="3"/>
      <c r="G36" s="3"/>
      <c r="H36" s="3"/>
      <c r="I36" s="3"/>
      <c r="J36" s="3"/>
      <c r="K36" s="3"/>
    </row>
    <row r="37" spans="1:11" ht="16" customHeight="1" x14ac:dyDescent="0.35">
      <c r="A37" s="29" t="s">
        <v>32</v>
      </c>
      <c r="B37" s="46" t="s">
        <v>33</v>
      </c>
      <c r="C37" s="108">
        <v>7710</v>
      </c>
      <c r="D37" s="91">
        <v>35000</v>
      </c>
      <c r="E37" s="52">
        <f t="shared" si="0"/>
        <v>27290</v>
      </c>
      <c r="F37" s="3"/>
      <c r="G37" s="3"/>
      <c r="H37" s="3"/>
      <c r="I37" s="3"/>
      <c r="J37" s="3"/>
      <c r="K37" s="3"/>
    </row>
    <row r="38" spans="1:11" ht="16" customHeight="1" x14ac:dyDescent="0.35">
      <c r="A38" s="29" t="s">
        <v>72</v>
      </c>
      <c r="B38" s="46" t="s">
        <v>73</v>
      </c>
      <c r="C38" s="108">
        <v>8015</v>
      </c>
      <c r="D38" s="91">
        <v>30000</v>
      </c>
      <c r="E38" s="52">
        <f t="shared" si="0"/>
        <v>21985</v>
      </c>
      <c r="F38" s="3"/>
      <c r="G38" s="3"/>
      <c r="H38" s="3"/>
      <c r="I38" s="3"/>
      <c r="J38" s="3"/>
      <c r="K38" s="3"/>
    </row>
    <row r="39" spans="1:11" ht="21" customHeight="1" thickBot="1" x14ac:dyDescent="0.4">
      <c r="A39" s="29"/>
      <c r="B39" s="56" t="s">
        <v>43</v>
      </c>
      <c r="C39" s="116">
        <f>SUM(C22:C38)</f>
        <v>466276</v>
      </c>
      <c r="D39" s="57">
        <f>SUM(D22:D38)</f>
        <v>924000</v>
      </c>
      <c r="E39" s="58">
        <f>SUM(E22:E38)</f>
        <v>457724</v>
      </c>
      <c r="F39" s="3"/>
      <c r="G39" s="3"/>
      <c r="H39" s="3"/>
      <c r="I39" s="3"/>
      <c r="J39" s="3"/>
      <c r="K39" s="3"/>
    </row>
    <row r="40" spans="1:11" ht="23.25" customHeight="1" thickBot="1" x14ac:dyDescent="0.4">
      <c r="A40" s="29"/>
      <c r="B40" s="61" t="s">
        <v>64</v>
      </c>
      <c r="C40" s="117">
        <f>SUM(C12+C21+C39)</f>
        <v>1221820.29</v>
      </c>
      <c r="D40" s="62">
        <f>SUM(D12+D21+D39)</f>
        <v>2307000</v>
      </c>
      <c r="E40" s="62">
        <f>SUM(E12+E21+E39)</f>
        <v>1085179.71</v>
      </c>
      <c r="F40" s="3"/>
      <c r="G40" s="3"/>
      <c r="H40" s="3"/>
      <c r="I40" s="3"/>
      <c r="J40" s="3"/>
      <c r="K40" s="3"/>
    </row>
    <row r="41" spans="1:11" ht="23.25" customHeight="1" x14ac:dyDescent="0.35">
      <c r="A41" s="29" t="s">
        <v>96</v>
      </c>
      <c r="B41" s="59" t="s">
        <v>95</v>
      </c>
      <c r="C41" s="118">
        <f>21500+23900</f>
        <v>45400</v>
      </c>
      <c r="D41" s="60">
        <v>95000</v>
      </c>
      <c r="E41" s="52">
        <f t="shared" ref="E41" si="1">D41-C41</f>
        <v>49600</v>
      </c>
      <c r="F41" s="3"/>
      <c r="G41" s="3"/>
      <c r="H41" s="3"/>
      <c r="I41" s="3"/>
      <c r="J41" s="3"/>
      <c r="K41" s="3"/>
    </row>
    <row r="42" spans="1:11" ht="29.25" customHeight="1" thickBot="1" x14ac:dyDescent="0.4">
      <c r="A42" s="54"/>
      <c r="B42" s="55" t="s">
        <v>80</v>
      </c>
      <c r="C42" s="119">
        <f>SUM(C40+C41)</f>
        <v>1267220.29</v>
      </c>
      <c r="D42" s="49">
        <f>SUM(D12+D21+D39+D41)</f>
        <v>2402000</v>
      </c>
      <c r="E42" s="49">
        <f>SUM(E12+E21+E39+E41)</f>
        <v>1134779.71</v>
      </c>
      <c r="F42" s="3"/>
      <c r="G42" s="3"/>
      <c r="H42" s="3"/>
      <c r="I42" s="3"/>
      <c r="J42" s="3"/>
      <c r="K42" s="3"/>
    </row>
    <row r="43" spans="1:11" ht="12" customHeight="1" x14ac:dyDescent="0.35">
      <c r="A43" s="10"/>
      <c r="B43" s="11"/>
      <c r="C43" s="12"/>
      <c r="D43" s="14"/>
      <c r="E43" s="12"/>
      <c r="F43" s="3"/>
      <c r="G43" s="3"/>
      <c r="H43" s="3"/>
      <c r="I43" s="3"/>
      <c r="J43" s="3"/>
      <c r="K43" s="3"/>
    </row>
    <row r="44" spans="1:11" ht="18" customHeight="1" x14ac:dyDescent="0.35">
      <c r="A44" s="10"/>
      <c r="B44" s="11"/>
      <c r="C44" s="12"/>
      <c r="D44" s="14"/>
      <c r="E44" s="12"/>
      <c r="F44" s="3"/>
      <c r="G44" s="3"/>
      <c r="H44" s="3"/>
      <c r="I44" s="3"/>
      <c r="J44" s="3"/>
      <c r="K44" s="3"/>
    </row>
    <row r="45" spans="1:11" ht="24.75" customHeight="1" x14ac:dyDescent="0.5">
      <c r="A45" s="65" t="s">
        <v>98</v>
      </c>
      <c r="B45" s="11"/>
      <c r="C45" s="12"/>
      <c r="D45" s="14"/>
      <c r="E45" s="12"/>
      <c r="F45" s="3"/>
      <c r="G45" s="3"/>
      <c r="H45" s="3"/>
      <c r="I45" s="3"/>
      <c r="J45" s="3"/>
      <c r="K45" s="3"/>
    </row>
    <row r="46" spans="1:11" ht="18" customHeight="1" x14ac:dyDescent="0.45">
      <c r="A46" s="63" t="s">
        <v>105</v>
      </c>
      <c r="B46" s="11"/>
      <c r="C46" s="12"/>
      <c r="D46" s="14"/>
      <c r="E46" s="12"/>
      <c r="F46" s="3"/>
      <c r="G46" s="3"/>
      <c r="H46" s="3"/>
      <c r="I46" s="3"/>
      <c r="J46" s="3"/>
      <c r="K46" s="3"/>
    </row>
    <row r="47" spans="1:11" ht="8.25" customHeight="1" thickBot="1" x14ac:dyDescent="0.4">
      <c r="A47" s="11"/>
      <c r="B47" s="11"/>
      <c r="C47" s="12"/>
      <c r="D47" s="14"/>
      <c r="E47" s="12"/>
      <c r="F47" s="3"/>
      <c r="G47" s="3"/>
      <c r="H47" s="3"/>
      <c r="I47" s="3"/>
      <c r="J47" s="3"/>
      <c r="K47" s="3"/>
    </row>
    <row r="48" spans="1:11" x14ac:dyDescent="0.35">
      <c r="A48" s="19" t="s">
        <v>0</v>
      </c>
      <c r="B48" s="20" t="s">
        <v>1</v>
      </c>
      <c r="C48" s="32" t="s">
        <v>45</v>
      </c>
      <c r="D48" s="34" t="s">
        <v>2</v>
      </c>
      <c r="E48" s="35" t="s">
        <v>62</v>
      </c>
      <c r="F48" s="21"/>
      <c r="G48" s="21"/>
      <c r="H48" s="13"/>
      <c r="I48" s="14"/>
      <c r="J48" s="14"/>
      <c r="K48" s="14"/>
    </row>
    <row r="49" spans="1:11" ht="15.75" customHeight="1" thickBot="1" x14ac:dyDescent="0.4">
      <c r="A49" s="24"/>
      <c r="B49" s="25" t="s">
        <v>63</v>
      </c>
      <c r="C49" s="48">
        <v>45961</v>
      </c>
      <c r="D49" s="93">
        <v>2025</v>
      </c>
      <c r="E49" s="37" t="s">
        <v>57</v>
      </c>
      <c r="F49" s="1"/>
      <c r="G49" s="1"/>
      <c r="H49" s="3"/>
      <c r="I49" s="3"/>
      <c r="J49" s="3"/>
      <c r="K49" s="3"/>
    </row>
    <row r="50" spans="1:11" ht="15.75" customHeight="1" x14ac:dyDescent="0.35">
      <c r="A50" s="72"/>
      <c r="B50" s="75" t="s">
        <v>70</v>
      </c>
      <c r="C50" s="103">
        <v>7000</v>
      </c>
      <c r="D50" s="104">
        <v>50000</v>
      </c>
      <c r="E50" s="105">
        <f t="shared" ref="E50:E58" si="2">D50-C50</f>
        <v>43000</v>
      </c>
      <c r="F50" s="1"/>
      <c r="G50" s="1"/>
      <c r="H50" s="3"/>
      <c r="I50" s="3"/>
      <c r="J50" s="3"/>
      <c r="K50" s="3"/>
    </row>
    <row r="51" spans="1:11" x14ac:dyDescent="0.35">
      <c r="A51" s="70" t="s">
        <v>34</v>
      </c>
      <c r="B51" s="71" t="s">
        <v>52</v>
      </c>
      <c r="C51" s="106">
        <v>1282000</v>
      </c>
      <c r="D51" s="107">
        <v>1671200</v>
      </c>
      <c r="E51" s="105">
        <f t="shared" si="2"/>
        <v>389200</v>
      </c>
      <c r="F51" s="3"/>
      <c r="G51" s="3"/>
      <c r="H51" s="3"/>
      <c r="I51" s="3"/>
      <c r="J51" s="3"/>
      <c r="K51" s="3"/>
    </row>
    <row r="52" spans="1:11" x14ac:dyDescent="0.35">
      <c r="A52" s="70"/>
      <c r="B52" s="71" t="s">
        <v>88</v>
      </c>
      <c r="C52" s="106">
        <v>16518.939999999999</v>
      </c>
      <c r="D52" s="107">
        <v>0</v>
      </c>
      <c r="E52" s="105">
        <f t="shared" si="2"/>
        <v>-16518.939999999999</v>
      </c>
      <c r="F52" s="3"/>
      <c r="G52" s="3"/>
      <c r="H52" s="3"/>
      <c r="I52" s="3"/>
      <c r="J52" s="3"/>
      <c r="K52" s="3"/>
    </row>
    <row r="53" spans="1:11" x14ac:dyDescent="0.35">
      <c r="A53" s="68"/>
      <c r="B53" s="66" t="s">
        <v>75</v>
      </c>
      <c r="C53" s="108">
        <v>0</v>
      </c>
      <c r="D53" s="109">
        <v>650000</v>
      </c>
      <c r="E53" s="105">
        <f t="shared" si="2"/>
        <v>650000</v>
      </c>
      <c r="F53" s="3"/>
      <c r="G53" s="3"/>
      <c r="H53" s="3"/>
      <c r="I53" s="3"/>
      <c r="J53" s="3"/>
      <c r="K53" s="3"/>
    </row>
    <row r="54" spans="1:11" x14ac:dyDescent="0.35">
      <c r="A54" s="68"/>
      <c r="B54" s="66" t="s">
        <v>71</v>
      </c>
      <c r="C54" s="108">
        <v>0</v>
      </c>
      <c r="D54" s="109">
        <v>20000</v>
      </c>
      <c r="E54" s="105">
        <f t="shared" si="2"/>
        <v>20000</v>
      </c>
      <c r="F54" s="3"/>
      <c r="G54" s="3"/>
      <c r="H54" s="3"/>
      <c r="I54" s="3"/>
      <c r="J54" s="3"/>
      <c r="K54" s="3"/>
    </row>
    <row r="55" spans="1:11" x14ac:dyDescent="0.35">
      <c r="A55" s="69" t="s">
        <v>35</v>
      </c>
      <c r="B55" s="67" t="s">
        <v>85</v>
      </c>
      <c r="C55" s="110">
        <v>23450</v>
      </c>
      <c r="D55" s="111">
        <v>10000</v>
      </c>
      <c r="E55" s="105">
        <f t="shared" si="2"/>
        <v>-13450</v>
      </c>
      <c r="F55" s="3"/>
      <c r="G55" s="3"/>
      <c r="H55" s="3"/>
      <c r="I55" s="3"/>
      <c r="J55" s="3"/>
      <c r="K55" s="3"/>
    </row>
    <row r="56" spans="1:11" x14ac:dyDescent="0.35">
      <c r="A56" s="69"/>
      <c r="B56" s="66" t="s">
        <v>53</v>
      </c>
      <c r="C56" s="108">
        <v>1109</v>
      </c>
      <c r="D56" s="109">
        <v>800</v>
      </c>
      <c r="E56" s="105">
        <f t="shared" si="2"/>
        <v>-309</v>
      </c>
      <c r="F56" s="3"/>
      <c r="G56" s="3"/>
      <c r="H56" s="3"/>
      <c r="I56" s="3"/>
      <c r="J56" s="3"/>
      <c r="K56" s="3"/>
    </row>
    <row r="57" spans="1:11" x14ac:dyDescent="0.35">
      <c r="A57" s="69"/>
      <c r="B57" s="67" t="s">
        <v>89</v>
      </c>
      <c r="C57" s="110">
        <v>90</v>
      </c>
      <c r="D57" s="111">
        <v>0</v>
      </c>
      <c r="E57" s="105">
        <f t="shared" si="2"/>
        <v>-90</v>
      </c>
      <c r="F57" s="3"/>
      <c r="G57" s="3"/>
      <c r="H57" s="3"/>
      <c r="I57" s="3"/>
      <c r="J57" s="3"/>
      <c r="K57" s="3"/>
    </row>
    <row r="58" spans="1:11" ht="17" thickBot="1" x14ac:dyDescent="0.4">
      <c r="A58" s="69"/>
      <c r="B58" s="67" t="s">
        <v>76</v>
      </c>
      <c r="C58" s="110">
        <v>0</v>
      </c>
      <c r="D58" s="111">
        <v>0</v>
      </c>
      <c r="E58" s="105">
        <f t="shared" si="2"/>
        <v>0</v>
      </c>
      <c r="F58" s="3"/>
      <c r="G58" s="3"/>
      <c r="H58" s="3"/>
      <c r="I58" s="3"/>
      <c r="J58" s="3"/>
      <c r="K58" s="3"/>
    </row>
    <row r="59" spans="1:11" ht="24.75" customHeight="1" thickBot="1" x14ac:dyDescent="0.4">
      <c r="A59" s="38"/>
      <c r="B59" s="36" t="s">
        <v>65</v>
      </c>
      <c r="C59" s="112">
        <f>SUM(C50:C58)</f>
        <v>1330167.94</v>
      </c>
      <c r="D59" s="112">
        <f>SUM(D50:D58)</f>
        <v>2402000</v>
      </c>
      <c r="E59" s="113">
        <f>SUM(E50:E58)</f>
        <v>1071832.06</v>
      </c>
      <c r="F59" s="3"/>
      <c r="G59" s="3"/>
      <c r="H59" s="3"/>
      <c r="I59" s="3"/>
      <c r="J59" s="3"/>
      <c r="K59" s="3"/>
    </row>
    <row r="60" spans="1:11" ht="26.25" customHeight="1" x14ac:dyDescent="0.35">
      <c r="A60" s="15"/>
      <c r="B60" s="15"/>
      <c r="C60" s="16"/>
      <c r="D60" s="4"/>
      <c r="E60" s="17"/>
      <c r="F60" s="3"/>
      <c r="G60" s="3"/>
      <c r="H60" s="3"/>
      <c r="I60" s="3"/>
      <c r="J60" s="3"/>
      <c r="K60" s="3"/>
    </row>
    <row r="61" spans="1:11" x14ac:dyDescent="0.35">
      <c r="A61" s="77" t="s">
        <v>107</v>
      </c>
      <c r="B61" s="77"/>
      <c r="C61" s="94"/>
      <c r="D61" s="14"/>
      <c r="E61" s="95"/>
      <c r="F61" s="3"/>
      <c r="G61" s="3"/>
      <c r="H61" s="3"/>
      <c r="I61" s="3"/>
      <c r="J61" s="3"/>
      <c r="K61" s="3"/>
    </row>
    <row r="62" spans="1:11" ht="20.149999999999999" customHeight="1" x14ac:dyDescent="0.35">
      <c r="A62" s="15"/>
      <c r="B62" s="15"/>
      <c r="C62" s="15"/>
      <c r="D62" s="4"/>
      <c r="E62" s="17"/>
      <c r="F62" s="3"/>
      <c r="G62" s="3"/>
      <c r="H62" s="3"/>
      <c r="I62" s="3"/>
      <c r="J62" s="3"/>
      <c r="K62" s="3"/>
    </row>
    <row r="63" spans="1:11" ht="27" customHeight="1" x14ac:dyDescent="0.4">
      <c r="A63" s="40" t="s">
        <v>109</v>
      </c>
      <c r="B63" s="39"/>
      <c r="C63" s="31"/>
      <c r="D63" s="4"/>
      <c r="E63" s="17"/>
      <c r="F63" s="3"/>
      <c r="G63" s="3"/>
      <c r="H63" s="18"/>
      <c r="I63" s="15"/>
      <c r="J63" s="4"/>
      <c r="K63" s="17"/>
    </row>
    <row r="64" spans="1:11" ht="10.5" customHeight="1" thickBot="1" x14ac:dyDescent="0.5">
      <c r="A64" s="15"/>
      <c r="B64" s="30"/>
      <c r="C64" s="15"/>
      <c r="D64" s="4"/>
      <c r="E64" s="17"/>
      <c r="F64" s="3"/>
      <c r="G64" s="3"/>
      <c r="H64" s="18"/>
      <c r="I64" s="15"/>
      <c r="J64" s="4"/>
      <c r="K64" s="17"/>
    </row>
    <row r="65" spans="1:11" ht="20.149999999999999" customHeight="1" x14ac:dyDescent="0.45">
      <c r="A65" s="15"/>
      <c r="B65" s="81"/>
      <c r="C65" s="82" t="s">
        <v>48</v>
      </c>
      <c r="D65" s="83" t="s">
        <v>49</v>
      </c>
      <c r="E65" s="78"/>
      <c r="F65" s="3"/>
      <c r="G65" s="3"/>
      <c r="H65" s="18"/>
      <c r="I65" s="15"/>
      <c r="J65" s="4"/>
      <c r="K65" s="17"/>
    </row>
    <row r="66" spans="1:11" ht="20.149999999999999" customHeight="1" x14ac:dyDescent="0.35">
      <c r="A66" s="15"/>
      <c r="B66" s="84" t="s">
        <v>47</v>
      </c>
      <c r="C66" s="96"/>
      <c r="D66" s="97">
        <v>414517.3</v>
      </c>
      <c r="E66" s="79"/>
      <c r="F66" s="3"/>
      <c r="G66" s="3"/>
      <c r="H66" s="18"/>
      <c r="I66" s="15"/>
      <c r="J66" s="4"/>
      <c r="K66" s="17"/>
    </row>
    <row r="67" spans="1:11" ht="20.149999999999999" customHeight="1" x14ac:dyDescent="0.35">
      <c r="A67" s="3"/>
      <c r="B67" s="85" t="s">
        <v>46</v>
      </c>
      <c r="C67" s="98"/>
      <c r="D67" s="97"/>
      <c r="E67" s="79"/>
    </row>
    <row r="68" spans="1:11" ht="20.149999999999999" customHeight="1" x14ac:dyDescent="0.35">
      <c r="A68" s="3"/>
      <c r="B68" s="86" t="s">
        <v>54</v>
      </c>
      <c r="C68" s="98">
        <v>248655.01</v>
      </c>
      <c r="D68" s="97"/>
      <c r="E68" s="79"/>
    </row>
    <row r="69" spans="1:11" ht="20.149999999999999" customHeight="1" x14ac:dyDescent="0.35">
      <c r="A69" s="3"/>
      <c r="B69" s="87" t="s">
        <v>108</v>
      </c>
      <c r="C69" s="98">
        <v>165850</v>
      </c>
      <c r="D69" s="97"/>
      <c r="E69" s="79"/>
    </row>
    <row r="70" spans="1:11" ht="20.149999999999999" customHeight="1" x14ac:dyDescent="0.35">
      <c r="A70" s="3"/>
      <c r="B70" s="87" t="s">
        <v>86</v>
      </c>
      <c r="C70" s="98">
        <v>1572.3</v>
      </c>
      <c r="D70" s="97"/>
      <c r="E70" s="79"/>
    </row>
    <row r="71" spans="1:11" ht="20.149999999999999" customHeight="1" x14ac:dyDescent="0.35">
      <c r="A71" s="3"/>
      <c r="B71" s="87" t="s">
        <v>81</v>
      </c>
      <c r="C71" s="98">
        <v>5109.1400000000003</v>
      </c>
      <c r="D71" s="99"/>
      <c r="E71" s="80"/>
    </row>
    <row r="72" spans="1:11" ht="20.149999999999999" customHeight="1" x14ac:dyDescent="0.35">
      <c r="A72" s="3"/>
      <c r="B72" s="87" t="s">
        <v>97</v>
      </c>
      <c r="C72" s="98">
        <v>56278.5</v>
      </c>
      <c r="D72" s="99"/>
      <c r="E72" s="80"/>
    </row>
    <row r="73" spans="1:11" ht="20.149999999999999" customHeight="1" x14ac:dyDescent="0.35">
      <c r="A73" s="3"/>
      <c r="B73" s="88" t="s">
        <v>79</v>
      </c>
      <c r="C73" s="100">
        <f>SUM(C68:C72)</f>
        <v>477464.95</v>
      </c>
      <c r="D73" s="99"/>
      <c r="E73" s="80"/>
    </row>
    <row r="74" spans="1:11" ht="20.149999999999999" customHeight="1" x14ac:dyDescent="0.35">
      <c r="A74" s="3"/>
      <c r="B74" s="87" t="s">
        <v>68</v>
      </c>
      <c r="C74" s="97"/>
      <c r="D74" s="97">
        <v>62947.65</v>
      </c>
      <c r="E74" s="80"/>
    </row>
    <row r="75" spans="1:11" ht="29.25" customHeight="1" thickBot="1" x14ac:dyDescent="0.4">
      <c r="A75" s="3"/>
      <c r="B75" s="89" t="s">
        <v>66</v>
      </c>
      <c r="C75" s="101">
        <f>SUM(C73:C74)</f>
        <v>477464.95</v>
      </c>
      <c r="D75" s="102">
        <f>SUM(D66:D74)</f>
        <v>477464.95</v>
      </c>
      <c r="E75" s="80"/>
    </row>
    <row r="76" spans="1:11" ht="15" customHeight="1" x14ac:dyDescent="0.35">
      <c r="A76" s="3"/>
      <c r="B76" s="3"/>
      <c r="C76" s="3"/>
      <c r="D76" s="4"/>
      <c r="E76" s="17"/>
    </row>
    <row r="77" spans="1:11" x14ac:dyDescent="0.35">
      <c r="A77" s="3"/>
      <c r="B77" s="17" t="s">
        <v>106</v>
      </c>
      <c r="C77" s="3"/>
      <c r="D77" s="4"/>
      <c r="E77" s="17"/>
    </row>
    <row r="78" spans="1:11" x14ac:dyDescent="0.35">
      <c r="A78" s="3"/>
      <c r="B78" s="17"/>
      <c r="C78" s="3"/>
      <c r="D78" s="4"/>
      <c r="E78" s="17"/>
    </row>
    <row r="79" spans="1:11" x14ac:dyDescent="0.35">
      <c r="A79" s="3"/>
      <c r="B79" s="3"/>
      <c r="C79" s="4"/>
      <c r="D79" s="4"/>
      <c r="E79" s="17"/>
    </row>
    <row r="80" spans="1:11" x14ac:dyDescent="0.35">
      <c r="A80" s="3"/>
      <c r="B80" s="3"/>
      <c r="C80" s="4" t="s">
        <v>91</v>
      </c>
      <c r="D80" s="4"/>
      <c r="E80" s="17"/>
    </row>
    <row r="81" spans="1:5" x14ac:dyDescent="0.35">
      <c r="A81" s="3"/>
      <c r="B81" s="3"/>
      <c r="C81" s="3" t="s">
        <v>92</v>
      </c>
      <c r="D81" s="4"/>
      <c r="E81" s="17"/>
    </row>
    <row r="82" spans="1:5" x14ac:dyDescent="0.35">
      <c r="A82" s="3"/>
      <c r="B82" s="120" t="s">
        <v>90</v>
      </c>
      <c r="C82" s="3"/>
      <c r="D82" s="4"/>
      <c r="E82" s="17"/>
    </row>
    <row r="83" spans="1:5" x14ac:dyDescent="0.35">
      <c r="A83" s="3"/>
      <c r="B83" s="3"/>
      <c r="C83" s="3"/>
      <c r="D83" s="4"/>
      <c r="E83" s="17"/>
    </row>
    <row r="84" spans="1:5" x14ac:dyDescent="0.35">
      <c r="A84" s="3"/>
      <c r="B84" s="3"/>
      <c r="C84" s="3"/>
      <c r="D84" s="4"/>
      <c r="E84" s="17"/>
    </row>
    <row r="85" spans="1:5" x14ac:dyDescent="0.35">
      <c r="A85" s="3"/>
      <c r="B85" s="3" t="s">
        <v>93</v>
      </c>
      <c r="C85" s="3"/>
      <c r="D85" s="4"/>
      <c r="E85" s="17"/>
    </row>
    <row r="86" spans="1:5" x14ac:dyDescent="0.35">
      <c r="A86" s="3"/>
      <c r="B86" s="3" t="s">
        <v>94</v>
      </c>
      <c r="C86" s="3"/>
      <c r="D86" s="4"/>
      <c r="E86" s="17"/>
    </row>
    <row r="87" spans="1:5" x14ac:dyDescent="0.35">
      <c r="A87" s="3"/>
      <c r="B87" s="3"/>
      <c r="C87" s="3"/>
      <c r="D87" s="4"/>
      <c r="E87" s="17"/>
    </row>
    <row r="88" spans="1:5" x14ac:dyDescent="0.35">
      <c r="A88" s="3"/>
      <c r="B88" s="3"/>
      <c r="C88" s="3"/>
      <c r="D88" s="4"/>
      <c r="E88" s="17"/>
    </row>
    <row r="89" spans="1:5" x14ac:dyDescent="0.35">
      <c r="A89" s="3"/>
      <c r="B89" s="3"/>
      <c r="C89" s="3"/>
      <c r="D89" s="4"/>
      <c r="E89" s="17"/>
    </row>
    <row r="90" spans="1:5" x14ac:dyDescent="0.35">
      <c r="A90" s="3"/>
      <c r="B90" s="3"/>
      <c r="C90" s="3"/>
      <c r="D90" s="4"/>
      <c r="E90" s="17"/>
    </row>
    <row r="91" spans="1:5" x14ac:dyDescent="0.35">
      <c r="A91" s="3"/>
      <c r="B91" s="3"/>
      <c r="C91" s="3"/>
      <c r="D91" s="4"/>
      <c r="E91" s="17"/>
    </row>
    <row r="92" spans="1:5" x14ac:dyDescent="0.35">
      <c r="A92" s="3"/>
      <c r="B92" s="3"/>
      <c r="C92" s="3"/>
      <c r="D92" s="4"/>
      <c r="E92" s="17"/>
    </row>
    <row r="93" spans="1:5" x14ac:dyDescent="0.35">
      <c r="A93" s="3"/>
      <c r="B93" s="3"/>
      <c r="C93" s="3"/>
      <c r="D93" s="4"/>
      <c r="E93" s="17"/>
    </row>
    <row r="94" spans="1:5" x14ac:dyDescent="0.35">
      <c r="A94" s="3"/>
      <c r="B94" s="3"/>
      <c r="C94" s="3"/>
      <c r="D94" s="4"/>
      <c r="E94" s="17"/>
    </row>
    <row r="95" spans="1:5" x14ac:dyDescent="0.35">
      <c r="A95" s="3"/>
      <c r="B95" s="3"/>
      <c r="C95" s="3"/>
      <c r="D95" s="4"/>
      <c r="E95" s="17"/>
    </row>
    <row r="96" spans="1:5" x14ac:dyDescent="0.35">
      <c r="A96" s="3"/>
      <c r="B96" s="3"/>
      <c r="C96" s="3"/>
      <c r="D96" s="4"/>
      <c r="E96" s="17"/>
    </row>
    <row r="97" spans="1:5" x14ac:dyDescent="0.35">
      <c r="A97" s="3"/>
      <c r="B97" s="3"/>
      <c r="C97" s="3"/>
      <c r="D97" s="4"/>
      <c r="E97" s="17"/>
    </row>
    <row r="98" spans="1:5" x14ac:dyDescent="0.35">
      <c r="A98" s="3"/>
      <c r="B98" s="3"/>
      <c r="C98" s="3"/>
      <c r="D98" s="4"/>
      <c r="E98" s="17"/>
    </row>
    <row r="99" spans="1:5" x14ac:dyDescent="0.35">
      <c r="A99" s="3"/>
      <c r="B99" s="3"/>
      <c r="C99" s="3"/>
      <c r="D99" s="4"/>
      <c r="E99" s="17"/>
    </row>
    <row r="100" spans="1:5" x14ac:dyDescent="0.35">
      <c r="A100" s="3"/>
      <c r="B100" s="3"/>
      <c r="C100" s="3"/>
      <c r="D100" s="4"/>
      <c r="E100" s="17"/>
    </row>
    <row r="101" spans="1:5" x14ac:dyDescent="0.35">
      <c r="A101" s="3"/>
      <c r="B101" s="3"/>
      <c r="C101" s="3"/>
      <c r="D101" s="4"/>
      <c r="E101" s="17"/>
    </row>
    <row r="102" spans="1:5" x14ac:dyDescent="0.35">
      <c r="A102" s="3"/>
      <c r="B102" s="3"/>
      <c r="C102" s="3"/>
      <c r="D102" s="4"/>
      <c r="E102" s="17"/>
    </row>
    <row r="103" spans="1:5" x14ac:dyDescent="0.35">
      <c r="A103" s="3"/>
      <c r="B103" s="3"/>
      <c r="C103" s="3"/>
      <c r="D103" s="4"/>
      <c r="E103" s="17"/>
    </row>
    <row r="104" spans="1:5" x14ac:dyDescent="0.35">
      <c r="A104" s="3"/>
      <c r="B104" s="3"/>
      <c r="C104" s="3"/>
      <c r="D104" s="4"/>
      <c r="E104" s="17"/>
    </row>
    <row r="105" spans="1:5" x14ac:dyDescent="0.35">
      <c r="A105" s="3"/>
      <c r="B105" s="3"/>
      <c r="C105" s="3"/>
      <c r="D105" s="4"/>
      <c r="E105" s="17"/>
    </row>
    <row r="106" spans="1:5" x14ac:dyDescent="0.35">
      <c r="A106" s="3"/>
      <c r="B106" s="3"/>
      <c r="C106" s="3"/>
      <c r="D106" s="4"/>
      <c r="E106" s="17"/>
    </row>
    <row r="107" spans="1:5" x14ac:dyDescent="0.35">
      <c r="A107" s="3"/>
      <c r="B107" s="3"/>
      <c r="C107" s="3"/>
      <c r="D107" s="4"/>
      <c r="E107" s="17"/>
    </row>
    <row r="108" spans="1:5" x14ac:dyDescent="0.35">
      <c r="A108" s="3"/>
      <c r="B108" s="3"/>
      <c r="C108" s="3"/>
      <c r="D108" s="4"/>
      <c r="E108" s="17"/>
    </row>
    <row r="109" spans="1:5" x14ac:dyDescent="0.35">
      <c r="A109" s="3"/>
      <c r="B109" s="3"/>
      <c r="C109" s="3"/>
      <c r="D109" s="4"/>
      <c r="E109" s="17"/>
    </row>
    <row r="110" spans="1:5" x14ac:dyDescent="0.35">
      <c r="A110" s="3"/>
      <c r="B110" s="3"/>
      <c r="C110" s="3"/>
      <c r="D110" s="4"/>
      <c r="E110" s="17"/>
    </row>
    <row r="111" spans="1:5" x14ac:dyDescent="0.35">
      <c r="A111" s="3"/>
      <c r="B111" s="3"/>
      <c r="C111" s="3"/>
      <c r="D111" s="4"/>
      <c r="E111" s="17"/>
    </row>
    <row r="112" spans="1:5" x14ac:dyDescent="0.35">
      <c r="A112" s="3"/>
      <c r="B112" s="3"/>
      <c r="C112" s="3"/>
      <c r="D112" s="4"/>
      <c r="E112" s="17"/>
    </row>
    <row r="113" spans="1:5" x14ac:dyDescent="0.35">
      <c r="A113" s="3"/>
      <c r="B113" s="3"/>
      <c r="C113" s="3"/>
      <c r="D113" s="4"/>
      <c r="E113" s="17"/>
    </row>
    <row r="114" spans="1:5" x14ac:dyDescent="0.35">
      <c r="A114" s="3"/>
      <c r="B114" s="3"/>
      <c r="C114" s="3"/>
      <c r="D114" s="4"/>
      <c r="E114" s="17"/>
    </row>
    <row r="115" spans="1:5" x14ac:dyDescent="0.35">
      <c r="A115" s="3"/>
      <c r="B115" s="3"/>
      <c r="C115" s="3"/>
      <c r="D115" s="4"/>
      <c r="E115" s="17"/>
    </row>
    <row r="116" spans="1:5" x14ac:dyDescent="0.35">
      <c r="A116" s="3"/>
      <c r="B116" s="3"/>
      <c r="C116" s="3"/>
      <c r="D116" s="4"/>
      <c r="E116" s="17"/>
    </row>
    <row r="117" spans="1:5" x14ac:dyDescent="0.35">
      <c r="A117" s="3"/>
      <c r="B117" s="3"/>
      <c r="C117" s="3"/>
      <c r="D117" s="4"/>
      <c r="E117" s="17"/>
    </row>
    <row r="118" spans="1:5" x14ac:dyDescent="0.35">
      <c r="A118" s="3"/>
      <c r="B118" s="3"/>
      <c r="C118" s="3"/>
      <c r="D118" s="4"/>
      <c r="E118" s="17"/>
    </row>
    <row r="119" spans="1:5" x14ac:dyDescent="0.35">
      <c r="A119" s="3"/>
      <c r="B119" s="3"/>
      <c r="C119" s="3"/>
    </row>
    <row r="120" spans="1:5" x14ac:dyDescent="0.35">
      <c r="A120" s="3"/>
      <c r="B120" s="3"/>
      <c r="C120" s="3"/>
    </row>
    <row r="121" spans="1:5" x14ac:dyDescent="0.35">
      <c r="A121" s="3"/>
      <c r="B121" s="3"/>
      <c r="C121" s="3"/>
    </row>
    <row r="122" spans="1:5" x14ac:dyDescent="0.35">
      <c r="A122" s="3"/>
      <c r="B122" s="3"/>
      <c r="C122" s="3"/>
    </row>
    <row r="123" spans="1:5" x14ac:dyDescent="0.35">
      <c r="A123" s="3"/>
      <c r="B123" s="3"/>
      <c r="C123" s="3"/>
    </row>
    <row r="124" spans="1:5" x14ac:dyDescent="0.35">
      <c r="A124" s="3"/>
      <c r="B124" s="3"/>
      <c r="C124" s="3"/>
    </row>
    <row r="125" spans="1:5" x14ac:dyDescent="0.35">
      <c r="A125" s="3"/>
      <c r="B125" s="3"/>
      <c r="C125" s="3"/>
    </row>
    <row r="126" spans="1:5" x14ac:dyDescent="0.35">
      <c r="A126" s="3"/>
      <c r="B126" s="3"/>
      <c r="C126" s="3"/>
    </row>
    <row r="127" spans="1:5" x14ac:dyDescent="0.35">
      <c r="A127" s="3"/>
      <c r="B127" s="3"/>
      <c r="C127" s="3"/>
    </row>
    <row r="128" spans="1:5" x14ac:dyDescent="0.35">
      <c r="A128" s="3"/>
      <c r="B128" s="3"/>
      <c r="C128" s="3"/>
    </row>
    <row r="129" spans="1:3" x14ac:dyDescent="0.35">
      <c r="A129" s="3"/>
      <c r="B129" s="3"/>
      <c r="C129" s="3"/>
    </row>
    <row r="130" spans="1:3" x14ac:dyDescent="0.35">
      <c r="A130" s="3"/>
      <c r="B130" s="3"/>
      <c r="C130" s="3"/>
    </row>
    <row r="131" spans="1:3" x14ac:dyDescent="0.35">
      <c r="A131" s="3"/>
      <c r="B131" s="3"/>
      <c r="C131" s="3"/>
    </row>
    <row r="132" spans="1:3" x14ac:dyDescent="0.35">
      <c r="A132" s="3"/>
      <c r="B132" s="3"/>
      <c r="C132" s="3"/>
    </row>
    <row r="133" spans="1:3" x14ac:dyDescent="0.35">
      <c r="A133" s="3"/>
      <c r="B133" s="3"/>
      <c r="C133" s="3"/>
    </row>
    <row r="134" spans="1:3" x14ac:dyDescent="0.35">
      <c r="A134" s="3"/>
      <c r="B134" s="3"/>
      <c r="C134" s="3"/>
    </row>
    <row r="135" spans="1:3" x14ac:dyDescent="0.35">
      <c r="A135" s="3"/>
      <c r="B135" s="3"/>
      <c r="C135" s="3"/>
    </row>
    <row r="136" spans="1:3" x14ac:dyDescent="0.35">
      <c r="A136" s="3"/>
      <c r="B136" s="3"/>
      <c r="C136" s="3"/>
    </row>
    <row r="137" spans="1:3" x14ac:dyDescent="0.35">
      <c r="A137" s="3"/>
      <c r="B137" s="3"/>
      <c r="C137" s="3"/>
    </row>
    <row r="138" spans="1:3" x14ac:dyDescent="0.35">
      <c r="A138" s="3"/>
      <c r="B138" s="3"/>
      <c r="C1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eliss</cp:lastModifiedBy>
  <cp:lastPrinted>2025-09-04T11:10:49Z</cp:lastPrinted>
  <dcterms:created xsi:type="dcterms:W3CDTF">2018-12-11T05:56:22Z</dcterms:created>
  <dcterms:modified xsi:type="dcterms:W3CDTF">2025-11-18T12:51:56Z</dcterms:modified>
</cp:coreProperties>
</file>