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ss\Downloads\Co Shi\Contabilidad Shillong\1. Budget 2026\Sent\"/>
    </mc:Choice>
  </mc:AlternateContent>
  <bookViews>
    <workbookView xWindow="0" yWindow="0" windowWidth="19200" windowHeight="6760"/>
  </bookViews>
  <sheets>
    <sheet name="EvaL 25-Presup 26" sheetId="9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5" i="9" l="1"/>
  <c r="E56" i="9"/>
  <c r="E57" i="9"/>
  <c r="E58" i="9"/>
  <c r="E59" i="9"/>
  <c r="J47" i="9" l="1"/>
  <c r="J38" i="9"/>
  <c r="J37" i="9"/>
  <c r="J22" i="9"/>
  <c r="J13" i="9"/>
  <c r="J36" i="9" l="1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1" i="9"/>
  <c r="J20" i="9"/>
  <c r="J19" i="9"/>
  <c r="J18" i="9"/>
  <c r="J17" i="9"/>
  <c r="J16" i="9"/>
  <c r="J15" i="9"/>
  <c r="J14" i="9"/>
  <c r="J12" i="9"/>
  <c r="J11" i="9"/>
  <c r="J10" i="9"/>
  <c r="J9" i="9"/>
  <c r="J8" i="9"/>
  <c r="J7" i="9"/>
  <c r="J6" i="9"/>
  <c r="G62" i="9"/>
  <c r="G61" i="9"/>
  <c r="G60" i="9"/>
  <c r="G59" i="9"/>
  <c r="G58" i="9"/>
  <c r="G57" i="9"/>
  <c r="G55" i="9"/>
  <c r="G56" i="9"/>
  <c r="I47" i="9"/>
  <c r="E47" i="9" l="1"/>
  <c r="I22" i="9" l="1"/>
  <c r="I13" i="9"/>
  <c r="I37" i="9"/>
  <c r="E37" i="9"/>
  <c r="E62" i="9"/>
  <c r="E61" i="9"/>
  <c r="G30" i="9"/>
  <c r="G34" i="9"/>
  <c r="F24" i="9"/>
  <c r="G24" i="9" s="1"/>
  <c r="F25" i="9"/>
  <c r="G25" i="9" s="1"/>
  <c r="F26" i="9"/>
  <c r="G26" i="9" s="1"/>
  <c r="F27" i="9"/>
  <c r="G27" i="9" s="1"/>
  <c r="F28" i="9"/>
  <c r="F29" i="9"/>
  <c r="G29" i="9" s="1"/>
  <c r="F30" i="9"/>
  <c r="F31" i="9"/>
  <c r="G31" i="9" s="1"/>
  <c r="F32" i="9"/>
  <c r="G32" i="9" s="1"/>
  <c r="F33" i="9"/>
  <c r="G33" i="9" s="1"/>
  <c r="F34" i="9"/>
  <c r="F35" i="9"/>
  <c r="G35" i="9" s="1"/>
  <c r="F36" i="9"/>
  <c r="F23" i="9"/>
  <c r="G23" i="9" s="1"/>
  <c r="E22" i="9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14" i="9"/>
  <c r="G14" i="9" s="1"/>
  <c r="E13" i="9"/>
  <c r="G7" i="9"/>
  <c r="G8" i="9"/>
  <c r="G11" i="9"/>
  <c r="G12" i="9"/>
  <c r="F7" i="9"/>
  <c r="F8" i="9"/>
  <c r="F9" i="9"/>
  <c r="G9" i="9" s="1"/>
  <c r="F10" i="9"/>
  <c r="G10" i="9" s="1"/>
  <c r="F11" i="9"/>
  <c r="F12" i="9"/>
  <c r="I38" i="9" l="1"/>
  <c r="E38" i="9"/>
  <c r="F6" i="9"/>
  <c r="G6" i="9" s="1"/>
  <c r="F63" i="9" l="1"/>
  <c r="D63" i="9"/>
  <c r="B63" i="9"/>
  <c r="C60" i="9"/>
  <c r="F47" i="9"/>
  <c r="D47" i="9"/>
  <c r="C47" i="9"/>
  <c r="B47" i="9"/>
  <c r="G46" i="9"/>
  <c r="G45" i="9"/>
  <c r="G44" i="9"/>
  <c r="G43" i="9"/>
  <c r="F37" i="9"/>
  <c r="G37" i="9" s="1"/>
  <c r="D37" i="9"/>
  <c r="B37" i="9"/>
  <c r="C35" i="9"/>
  <c r="C37" i="9" s="1"/>
  <c r="F22" i="9"/>
  <c r="D22" i="9"/>
  <c r="B22" i="9"/>
  <c r="C17" i="9"/>
  <c r="C14" i="9"/>
  <c r="F13" i="9"/>
  <c r="D13" i="9"/>
  <c r="B13" i="9"/>
  <c r="C10" i="9"/>
  <c r="C9" i="9"/>
  <c r="C63" i="9" l="1"/>
  <c r="E60" i="9"/>
  <c r="E63" i="9" s="1"/>
  <c r="C22" i="9"/>
  <c r="C13" i="9"/>
  <c r="C38" i="9" s="1"/>
  <c r="C50" i="9" s="1"/>
  <c r="G22" i="9"/>
  <c r="D38" i="9"/>
  <c r="D50" i="9" s="1"/>
  <c r="F38" i="9"/>
  <c r="G38" i="9" s="1"/>
  <c r="B38" i="9"/>
  <c r="B50" i="9" s="1"/>
  <c r="G47" i="9"/>
  <c r="G13" i="9"/>
  <c r="G63" i="9"/>
</calcChain>
</file>

<file path=xl/sharedStrings.xml><?xml version="1.0" encoding="utf-8"?>
<sst xmlns="http://schemas.openxmlformats.org/spreadsheetml/2006/main" count="95" uniqueCount="79">
  <si>
    <t>CONCEPTOS</t>
  </si>
  <si>
    <t>PRESUPUESTO</t>
  </si>
  <si>
    <t>Compras  farmacia</t>
  </si>
  <si>
    <t>Material oficina e impresos</t>
  </si>
  <si>
    <t>Comestibles y bebidas</t>
  </si>
  <si>
    <t>Tasas bancarias</t>
  </si>
  <si>
    <t xml:space="preserve">Relaciones publicas - Atenciones </t>
  </si>
  <si>
    <t>Viajes</t>
  </si>
  <si>
    <t>Atenciones  comunitarias</t>
  </si>
  <si>
    <t xml:space="preserve">Vacaciones </t>
  </si>
  <si>
    <t>Libros, suscripciones, videos, cds</t>
  </si>
  <si>
    <t>Donativos</t>
  </si>
  <si>
    <t>Documentos fotografías, visados</t>
  </si>
  <si>
    <t>Culto</t>
  </si>
  <si>
    <t xml:space="preserve">Otros Gastos varios </t>
  </si>
  <si>
    <t>SUMA TOTAL</t>
  </si>
  <si>
    <t>INGRESOS</t>
  </si>
  <si>
    <t xml:space="preserve">SUMA TOTAL </t>
  </si>
  <si>
    <t>Ropería y gastos personales</t>
  </si>
  <si>
    <t xml:space="preserve">Reparaciones y conservación </t>
  </si>
  <si>
    <t>Comunic. Correo, telefono, internet</t>
  </si>
  <si>
    <t>GASTOS</t>
  </si>
  <si>
    <t xml:space="preserve">Consultas, pruebas medicas,  </t>
  </si>
  <si>
    <t>Combustibles (gas y petrol)</t>
  </si>
  <si>
    <t>Formación inicial</t>
  </si>
  <si>
    <t>Otros aprovis. + duracion</t>
  </si>
  <si>
    <t>Total Compras</t>
  </si>
  <si>
    <t>Servicios exteriores</t>
  </si>
  <si>
    <t xml:space="preserve">Gastos comunitarios y otros </t>
  </si>
  <si>
    <t>REALIZADO</t>
  </si>
  <si>
    <t>TOTAL</t>
  </si>
  <si>
    <t>Euros</t>
  </si>
  <si>
    <t>Limpieza, drogueria y aseo</t>
  </si>
  <si>
    <t>%</t>
  </si>
  <si>
    <t>PREVISION</t>
  </si>
  <si>
    <t>Formacion profes.y permanente</t>
  </si>
  <si>
    <t>Gastos personales de hermanas</t>
  </si>
  <si>
    <t>Pastoral Vocacional/candidates</t>
  </si>
  <si>
    <t>Un proyector</t>
  </si>
  <si>
    <t>Comunic. Bienes Gobier. General</t>
  </si>
  <si>
    <t>Ejercicios y retiros, asist. esp.</t>
  </si>
  <si>
    <t>Servicios profes. Indep.arquitecto</t>
  </si>
  <si>
    <t>Donativos y otros ingresos</t>
  </si>
  <si>
    <t>Ingresos financiaeros</t>
  </si>
  <si>
    <t xml:space="preserve">Fotocopiadora </t>
  </si>
  <si>
    <t>RUPIAS 2025</t>
  </si>
  <si>
    <t>Suministros (electricidad)</t>
  </si>
  <si>
    <t>Impuestos de tasas (moto)</t>
  </si>
  <si>
    <t>Gastos extraordinarios</t>
  </si>
  <si>
    <t>Prestacion servicios externos</t>
  </si>
  <si>
    <t xml:space="preserve">FBM proyecto </t>
  </si>
  <si>
    <t>Ayudas de las familias-devoluc.</t>
  </si>
  <si>
    <t>Diferencias cambio</t>
  </si>
  <si>
    <t>Comunic. Bienes Trivandrum</t>
  </si>
  <si>
    <t>RUPIAS 2026</t>
  </si>
  <si>
    <t>Cambio 90</t>
  </si>
  <si>
    <t>Shillong,  de Noviembre 2025</t>
  </si>
  <si>
    <t xml:space="preserve">PREVISION </t>
  </si>
  <si>
    <t>TOTAL 2025</t>
  </si>
  <si>
    <t xml:space="preserve">             COMUNIDAD DE SHILLONG - INDIA </t>
  </si>
  <si>
    <t xml:space="preserve">                                    PRESUPUESTO 2026</t>
  </si>
  <si>
    <t>Mobiliario</t>
  </si>
  <si>
    <t>TOTAL gastos e invers.</t>
  </si>
  <si>
    <t>INVERSIONES</t>
  </si>
  <si>
    <t xml:space="preserve">                                       Sr. Elisa Sanchez</t>
  </si>
  <si>
    <t xml:space="preserve">                                       Economa Local</t>
  </si>
  <si>
    <t>Sr. Juliana S. Pedro</t>
  </si>
  <si>
    <t xml:space="preserve">  Superiora Local</t>
  </si>
  <si>
    <t xml:space="preserve">           Vº  Bº</t>
  </si>
  <si>
    <t>VARIATION</t>
  </si>
  <si>
    <t>PRESUPUESTO 2025</t>
  </si>
  <si>
    <t>REALIZADO OCTUBRE 2025</t>
  </si>
  <si>
    <t>PREVISION NOV-DEC 2025</t>
  </si>
  <si>
    <t>PREVISION TOTAL 2025</t>
  </si>
  <si>
    <t>EVALUATION 2025</t>
  </si>
  <si>
    <t>PRESUPUESTO 2026</t>
  </si>
  <si>
    <t>Vaya</t>
  </si>
  <si>
    <t>TOTAL EXPENSES 2026</t>
  </si>
  <si>
    <t>PRESUPUESTO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</si>
</sst>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[$-C0A]d\-mmm\-yy;@"/>
    <numFmt numFmtId="165" formatCode="_-* #,##0\ _€_-;\-* #,##0\ _€_-;_-* &quot;-&quot;??\ _€_-;_-@_-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22"/>
      <color theme="1"/>
      <name val="Segoe UI"/>
      <family val="2"/>
    </font>
    <font>
      <sz val="13"/>
      <color theme="1"/>
      <name val="Segoe UI"/>
      <family val="2"/>
    </font>
    <font>
      <sz val="22"/>
      <color theme="1"/>
      <name val="Segoe UI"/>
      <family val="2"/>
    </font>
    <font>
      <b/>
      <sz val="18"/>
      <name val="Segoe UI"/>
      <family val="2"/>
    </font>
    <font>
      <sz val="13"/>
      <name val="Segoe UI"/>
      <family val="2"/>
    </font>
    <font>
      <b/>
      <sz val="9"/>
      <name val="Segoe UI"/>
      <family val="2"/>
    </font>
    <font>
      <b/>
      <sz val="14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12"/>
      <name val="Segoe UI"/>
      <family val="2"/>
    </font>
    <font>
      <b/>
      <sz val="13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sz val="11"/>
      <name val="Segoe UI"/>
      <family val="2"/>
    </font>
    <font>
      <b/>
      <sz val="9"/>
      <color rgb="FF8C0052"/>
      <name val="Segoe UI"/>
      <family val="2"/>
    </font>
    <font>
      <b/>
      <sz val="10"/>
      <color rgb="FF8C0052"/>
      <name val="Segoe UI"/>
      <family val="2"/>
    </font>
    <font>
      <b/>
      <sz val="14"/>
      <color rgb="FF8C0052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3"/>
      <color rgb="FF8C0052"/>
      <name val="Segoe UI"/>
      <family val="2"/>
    </font>
    <font>
      <b/>
      <sz val="11"/>
      <color rgb="FF8C0052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8CDD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2569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7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76">
    <xf numFmtId="0" fontId="0" fillId="0" borderId="0" xfId="0"/>
    <xf numFmtId="0" fontId="3" fillId="0" borderId="0" xfId="0" applyFont="1"/>
    <xf numFmtId="0" fontId="4" fillId="0" borderId="0" xfId="0" applyFont="1"/>
    <xf numFmtId="4" fontId="5" fillId="0" borderId="0" xfId="0" applyNumberFormat="1" applyFont="1"/>
    <xf numFmtId="3" fontId="5" fillId="0" borderId="0" xfId="0" applyNumberFormat="1" applyFont="1"/>
    <xf numFmtId="0" fontId="6" fillId="2" borderId="0" xfId="1" applyFont="1" applyFill="1" applyAlignment="1" applyProtection="1">
      <alignment horizontal="left"/>
      <protection locked="0"/>
    </xf>
    <xf numFmtId="0" fontId="7" fillId="0" borderId="0" xfId="1" applyFont="1"/>
    <xf numFmtId="4" fontId="7" fillId="0" borderId="0" xfId="1" applyNumberFormat="1" applyFont="1"/>
    <xf numFmtId="3" fontId="7" fillId="0" borderId="0" xfId="1" applyNumberFormat="1" applyFont="1"/>
    <xf numFmtId="0" fontId="6" fillId="2" borderId="0" xfId="1" quotePrefix="1" applyFont="1" applyFill="1" applyAlignment="1" applyProtection="1">
      <alignment horizontal="left"/>
      <protection locked="0"/>
    </xf>
    <xf numFmtId="0" fontId="8" fillId="2" borderId="10" xfId="1" applyFont="1" applyFill="1" applyBorder="1" applyAlignment="1">
      <alignment horizontal="center"/>
    </xf>
    <xf numFmtId="0" fontId="8" fillId="6" borderId="10" xfId="1" applyFont="1" applyFill="1" applyBorder="1" applyAlignment="1">
      <alignment horizontal="center"/>
    </xf>
    <xf numFmtId="4" fontId="8" fillId="4" borderId="10" xfId="1" applyNumberFormat="1" applyFont="1" applyFill="1" applyBorder="1" applyAlignment="1">
      <alignment horizontal="center"/>
    </xf>
    <xf numFmtId="3" fontId="8" fillId="4" borderId="36" xfId="1" applyNumberFormat="1" applyFont="1" applyFill="1" applyBorder="1" applyAlignment="1">
      <alignment horizontal="center"/>
    </xf>
    <xf numFmtId="3" fontId="8" fillId="4" borderId="10" xfId="1" applyNumberFormat="1" applyFont="1" applyFill="1" applyBorder="1" applyAlignment="1">
      <alignment horizontal="center"/>
    </xf>
    <xf numFmtId="0" fontId="8" fillId="6" borderId="24" xfId="1" applyFont="1" applyFill="1" applyBorder="1" applyAlignment="1">
      <alignment horizontal="center"/>
    </xf>
    <xf numFmtId="0" fontId="9" fillId="2" borderId="9" xfId="1" applyFont="1" applyFill="1" applyBorder="1" applyAlignment="1">
      <alignment horizontal="center"/>
    </xf>
    <xf numFmtId="0" fontId="8" fillId="6" borderId="9" xfId="1" applyFont="1" applyFill="1" applyBorder="1" applyAlignment="1" applyProtection="1">
      <alignment horizontal="center"/>
      <protection locked="0"/>
    </xf>
    <xf numFmtId="164" fontId="10" fillId="4" borderId="9" xfId="1" applyNumberFormat="1" applyFont="1" applyFill="1" applyBorder="1" applyAlignment="1">
      <alignment horizontal="center"/>
    </xf>
    <xf numFmtId="14" fontId="8" fillId="4" borderId="13" xfId="1" applyNumberFormat="1" applyFont="1" applyFill="1" applyBorder="1" applyAlignment="1" applyProtection="1">
      <alignment horizontal="center"/>
      <protection locked="0"/>
    </xf>
    <xf numFmtId="14" fontId="8" fillId="4" borderId="9" xfId="1" applyNumberFormat="1" applyFont="1" applyFill="1" applyBorder="1" applyAlignment="1" applyProtection="1">
      <alignment horizontal="center"/>
      <protection locked="0"/>
    </xf>
    <xf numFmtId="0" fontId="8" fillId="6" borderId="16" xfId="1" applyFont="1" applyFill="1" applyBorder="1" applyAlignment="1" applyProtection="1">
      <alignment horizontal="center"/>
      <protection locked="0"/>
    </xf>
    <xf numFmtId="0" fontId="11" fillId="2" borderId="7" xfId="1" quotePrefix="1" applyFont="1" applyFill="1" applyBorder="1" applyAlignment="1">
      <alignment horizontal="left"/>
    </xf>
    <xf numFmtId="3" fontId="7" fillId="6" borderId="4" xfId="1" applyNumberFormat="1" applyFont="1" applyFill="1" applyBorder="1"/>
    <xf numFmtId="3" fontId="12" fillId="4" borderId="7" xfId="1" applyNumberFormat="1" applyFont="1" applyFill="1" applyBorder="1"/>
    <xf numFmtId="0" fontId="11" fillId="2" borderId="5" xfId="1" applyFont="1" applyFill="1" applyBorder="1" applyAlignment="1">
      <alignment horizontal="left"/>
    </xf>
    <xf numFmtId="3" fontId="7" fillId="6" borderId="5" xfId="1" applyNumberFormat="1" applyFont="1" applyFill="1" applyBorder="1"/>
    <xf numFmtId="3" fontId="12" fillId="4" borderId="5" xfId="1" applyNumberFormat="1" applyFont="1" applyFill="1" applyBorder="1"/>
    <xf numFmtId="0" fontId="11" fillId="2" borderId="5" xfId="1" quotePrefix="1" applyFont="1" applyFill="1" applyBorder="1" applyAlignment="1">
      <alignment horizontal="left"/>
    </xf>
    <xf numFmtId="0" fontId="11" fillId="2" borderId="17" xfId="1" applyFont="1" applyFill="1" applyBorder="1" applyAlignment="1">
      <alignment horizontal="left"/>
    </xf>
    <xf numFmtId="3" fontId="7" fillId="6" borderId="17" xfId="1" applyNumberFormat="1" applyFont="1" applyFill="1" applyBorder="1"/>
    <xf numFmtId="0" fontId="11" fillId="2" borderId="4" xfId="1" applyFont="1" applyFill="1" applyBorder="1" applyAlignment="1">
      <alignment horizontal="left"/>
    </xf>
    <xf numFmtId="0" fontId="15" fillId="2" borderId="5" xfId="1" applyFont="1" applyFill="1" applyBorder="1" applyAlignment="1">
      <alignment horizontal="left"/>
    </xf>
    <xf numFmtId="0" fontId="11" fillId="2" borderId="5" xfId="1" applyFont="1" applyFill="1" applyBorder="1"/>
    <xf numFmtId="0" fontId="7" fillId="3" borderId="0" xfId="1" applyFont="1" applyFill="1"/>
    <xf numFmtId="4" fontId="13" fillId="0" borderId="0" xfId="1" applyNumberFormat="1" applyFont="1"/>
    <xf numFmtId="0" fontId="11" fillId="3" borderId="5" xfId="1" applyFont="1" applyFill="1" applyBorder="1"/>
    <xf numFmtId="4" fontId="13" fillId="3" borderId="0" xfId="1" applyNumberFormat="1" applyFont="1" applyFill="1"/>
    <xf numFmtId="0" fontId="13" fillId="5" borderId="2" xfId="1" applyFont="1" applyFill="1" applyBorder="1" applyAlignment="1">
      <alignment horizontal="right" vertical="center"/>
    </xf>
    <xf numFmtId="3" fontId="13" fillId="4" borderId="22" xfId="1" applyNumberFormat="1" applyFont="1" applyFill="1" applyBorder="1"/>
    <xf numFmtId="0" fontId="13" fillId="3" borderId="0" xfId="1" applyFont="1" applyFill="1" applyAlignment="1">
      <alignment horizontal="justify" vertical="center"/>
    </xf>
    <xf numFmtId="3" fontId="13" fillId="0" borderId="0" xfId="1" applyNumberFormat="1" applyFont="1"/>
    <xf numFmtId="3" fontId="7" fillId="3" borderId="0" xfId="1" applyNumberFormat="1" applyFont="1" applyFill="1"/>
    <xf numFmtId="3" fontId="13" fillId="3" borderId="0" xfId="1" applyNumberFormat="1" applyFont="1" applyFill="1"/>
    <xf numFmtId="0" fontId="7" fillId="3" borderId="11" xfId="1" applyFont="1" applyFill="1" applyBorder="1" applyAlignment="1">
      <alignment horizontal="justify" vertical="center"/>
    </xf>
    <xf numFmtId="3" fontId="7" fillId="0" borderId="14" xfId="1" applyNumberFormat="1" applyFont="1" applyBorder="1"/>
    <xf numFmtId="3" fontId="7" fillId="3" borderId="1" xfId="1" applyNumberFormat="1" applyFont="1" applyFill="1" applyBorder="1" applyAlignment="1">
      <alignment horizontal="right"/>
    </xf>
    <xf numFmtId="14" fontId="8" fillId="3" borderId="39" xfId="1" applyNumberFormat="1" applyFont="1" applyFill="1" applyBorder="1" applyAlignment="1" applyProtection="1">
      <alignment horizontal="center"/>
      <protection locked="0"/>
    </xf>
    <xf numFmtId="14" fontId="8" fillId="3" borderId="1" xfId="1" applyNumberFormat="1" applyFont="1" applyFill="1" applyBorder="1" applyAlignment="1" applyProtection="1">
      <alignment horizontal="center"/>
      <protection locked="0"/>
    </xf>
    <xf numFmtId="3" fontId="7" fillId="3" borderId="20" xfId="1" applyNumberFormat="1" applyFont="1" applyFill="1" applyBorder="1" applyAlignment="1">
      <alignment horizontal="right"/>
    </xf>
    <xf numFmtId="3" fontId="13" fillId="3" borderId="23" xfId="1" applyNumberFormat="1" applyFont="1" applyFill="1" applyBorder="1"/>
    <xf numFmtId="3" fontId="13" fillId="3" borderId="1" xfId="1" applyNumberFormat="1" applyFont="1" applyFill="1" applyBorder="1"/>
    <xf numFmtId="3" fontId="13" fillId="3" borderId="14" xfId="1" applyNumberFormat="1" applyFont="1" applyFill="1" applyBorder="1"/>
    <xf numFmtId="0" fontId="13" fillId="3" borderId="30" xfId="1" applyFont="1" applyFill="1" applyBorder="1" applyAlignment="1">
      <alignment horizontal="right" vertical="center"/>
    </xf>
    <xf numFmtId="3" fontId="13" fillId="0" borderId="31" xfId="1" applyNumberFormat="1" applyFont="1" applyBorder="1"/>
    <xf numFmtId="3" fontId="13" fillId="3" borderId="12" xfId="1" applyNumberFormat="1" applyFont="1" applyFill="1" applyBorder="1" applyAlignment="1">
      <alignment horizontal="right"/>
    </xf>
    <xf numFmtId="3" fontId="13" fillId="3" borderId="31" xfId="1" applyNumberFormat="1" applyFont="1" applyFill="1" applyBorder="1"/>
    <xf numFmtId="3" fontId="13" fillId="3" borderId="46" xfId="1" applyNumberFormat="1" applyFont="1" applyFill="1" applyBorder="1"/>
    <xf numFmtId="0" fontId="13" fillId="3" borderId="32" xfId="1" applyFont="1" applyFill="1" applyBorder="1" applyAlignment="1">
      <alignment horizontal="right" vertical="center"/>
    </xf>
    <xf numFmtId="3" fontId="13" fillId="0" borderId="32" xfId="1" applyNumberFormat="1" applyFont="1" applyBorder="1"/>
    <xf numFmtId="3" fontId="7" fillId="3" borderId="32" xfId="1" applyNumberFormat="1" applyFont="1" applyFill="1" applyBorder="1" applyAlignment="1">
      <alignment horizontal="right"/>
    </xf>
    <xf numFmtId="3" fontId="13" fillId="3" borderId="32" xfId="1" applyNumberFormat="1" applyFont="1" applyFill="1" applyBorder="1"/>
    <xf numFmtId="3" fontId="13" fillId="3" borderId="33" xfId="1" applyNumberFormat="1" applyFont="1" applyFill="1" applyBorder="1"/>
    <xf numFmtId="3" fontId="13" fillId="0" borderId="33" xfId="1" applyNumberFormat="1" applyFont="1" applyBorder="1"/>
    <xf numFmtId="4" fontId="13" fillId="0" borderId="7" xfId="1" applyNumberFormat="1" applyFont="1" applyBorder="1"/>
    <xf numFmtId="0" fontId="13" fillId="3" borderId="20" xfId="1" applyFont="1" applyFill="1" applyBorder="1" applyAlignment="1">
      <alignment horizontal="justify" vertical="center"/>
    </xf>
    <xf numFmtId="3" fontId="13" fillId="0" borderId="20" xfId="1" applyNumberFormat="1" applyFont="1" applyBorder="1"/>
    <xf numFmtId="3" fontId="13" fillId="3" borderId="20" xfId="1" applyNumberFormat="1" applyFont="1" applyFill="1" applyBorder="1"/>
    <xf numFmtId="3" fontId="13" fillId="0" borderId="23" xfId="1" applyNumberFormat="1" applyFont="1" applyBorder="1"/>
    <xf numFmtId="4" fontId="7" fillId="0" borderId="4" xfId="1" applyNumberFormat="1" applyFont="1" applyBorder="1"/>
    <xf numFmtId="0" fontId="14" fillId="7" borderId="27" xfId="1" applyFont="1" applyFill="1" applyBorder="1" applyAlignment="1">
      <alignment horizontal="right" vertical="center"/>
    </xf>
    <xf numFmtId="3" fontId="13" fillId="7" borderId="35" xfId="1" applyNumberFormat="1" applyFont="1" applyFill="1" applyBorder="1"/>
    <xf numFmtId="3" fontId="13" fillId="7" borderId="35" xfId="1" applyNumberFormat="1" applyFont="1" applyFill="1" applyBorder="1" applyAlignment="1">
      <alignment horizontal="right"/>
    </xf>
    <xf numFmtId="3" fontId="13" fillId="7" borderId="27" xfId="1" applyNumberFormat="1" applyFont="1" applyFill="1" applyBorder="1"/>
    <xf numFmtId="0" fontId="8" fillId="2" borderId="6" xfId="1" applyFont="1" applyFill="1" applyBorder="1" applyAlignment="1">
      <alignment horizontal="center"/>
    </xf>
    <xf numFmtId="0" fontId="10" fillId="6" borderId="10" xfId="1" applyFont="1" applyFill="1" applyBorder="1" applyAlignment="1">
      <alignment horizontal="center"/>
    </xf>
    <xf numFmtId="4" fontId="10" fillId="4" borderId="29" xfId="1" applyNumberFormat="1" applyFont="1" applyFill="1" applyBorder="1" applyAlignment="1">
      <alignment horizontal="center"/>
    </xf>
    <xf numFmtId="3" fontId="10" fillId="4" borderId="36" xfId="1" applyNumberFormat="1" applyFont="1" applyFill="1" applyBorder="1" applyAlignment="1">
      <alignment horizontal="center"/>
    </xf>
    <xf numFmtId="4" fontId="7" fillId="3" borderId="0" xfId="1" applyNumberFormat="1" applyFont="1" applyFill="1"/>
    <xf numFmtId="0" fontId="9" fillId="0" borderId="13" xfId="1" applyFont="1" applyBorder="1" applyAlignment="1">
      <alignment horizontal="center" vertical="center"/>
    </xf>
    <xf numFmtId="0" fontId="10" fillId="6" borderId="9" xfId="1" applyFont="1" applyFill="1" applyBorder="1" applyAlignment="1" applyProtection="1">
      <alignment horizontal="center"/>
      <protection locked="0"/>
    </xf>
    <xf numFmtId="164" fontId="14" fillId="4" borderId="41" xfId="1" applyNumberFormat="1" applyFont="1" applyFill="1" applyBorder="1" applyAlignment="1">
      <alignment horizontal="center"/>
    </xf>
    <xf numFmtId="14" fontId="14" fillId="4" borderId="13" xfId="1" applyNumberFormat="1" applyFont="1" applyFill="1" applyBorder="1" applyAlignment="1" applyProtection="1">
      <alignment horizontal="center"/>
      <protection locked="0"/>
    </xf>
    <xf numFmtId="0" fontId="16" fillId="0" borderId="36" xfId="1" applyFont="1" applyBorder="1" applyAlignment="1">
      <alignment horizontal="center" vertical="center"/>
    </xf>
    <xf numFmtId="3" fontId="7" fillId="6" borderId="10" xfId="1" applyNumberFormat="1" applyFont="1" applyFill="1" applyBorder="1" applyAlignment="1" applyProtection="1">
      <alignment horizontal="right"/>
      <protection locked="0"/>
    </xf>
    <xf numFmtId="0" fontId="10" fillId="6" borderId="10" xfId="1" applyFont="1" applyFill="1" applyBorder="1" applyAlignment="1" applyProtection="1">
      <alignment horizontal="center"/>
      <protection locked="0"/>
    </xf>
    <xf numFmtId="0" fontId="11" fillId="2" borderId="37" xfId="1" applyFont="1" applyFill="1" applyBorder="1" applyAlignment="1">
      <alignment horizontal="left"/>
    </xf>
    <xf numFmtId="3" fontId="7" fillId="6" borderId="7" xfId="1" applyNumberFormat="1" applyFont="1" applyFill="1" applyBorder="1"/>
    <xf numFmtId="0" fontId="11" fillId="2" borderId="34" xfId="1" applyFont="1" applyFill="1" applyBorder="1" applyAlignment="1">
      <alignment horizontal="left"/>
    </xf>
    <xf numFmtId="0" fontId="13" fillId="3" borderId="8" xfId="1" applyFont="1" applyFill="1" applyBorder="1" applyAlignment="1">
      <alignment horizontal="right" vertical="center"/>
    </xf>
    <xf numFmtId="3" fontId="13" fillId="6" borderId="2" xfId="1" applyNumberFormat="1" applyFont="1" applyFill="1" applyBorder="1"/>
    <xf numFmtId="4" fontId="13" fillId="4" borderId="40" xfId="1" applyNumberFormat="1" applyFont="1" applyFill="1" applyBorder="1"/>
    <xf numFmtId="3" fontId="13" fillId="4" borderId="8" xfId="1" applyNumberFormat="1" applyFont="1" applyFill="1" applyBorder="1"/>
    <xf numFmtId="0" fontId="7" fillId="0" borderId="0" xfId="1" applyFont="1" applyAlignment="1">
      <alignment horizontal="center"/>
    </xf>
    <xf numFmtId="4" fontId="4" fillId="0" borderId="0" xfId="0" applyNumberFormat="1" applyFont="1"/>
    <xf numFmtId="3" fontId="4" fillId="0" borderId="0" xfId="0" applyNumberFormat="1" applyFont="1"/>
    <xf numFmtId="0" fontId="4" fillId="3" borderId="0" xfId="0" applyFont="1" applyFill="1"/>
    <xf numFmtId="4" fontId="12" fillId="12" borderId="3" xfId="1" applyNumberFormat="1" applyFont="1" applyFill="1" applyBorder="1"/>
    <xf numFmtId="4" fontId="12" fillId="12" borderId="5" xfId="1" applyNumberFormat="1" applyFont="1" applyFill="1" applyBorder="1"/>
    <xf numFmtId="3" fontId="12" fillId="12" borderId="14" xfId="1" applyNumberFormat="1" applyFont="1" applyFill="1" applyBorder="1"/>
    <xf numFmtId="0" fontId="4" fillId="12" borderId="14" xfId="0" applyFont="1" applyFill="1" applyBorder="1"/>
    <xf numFmtId="4" fontId="12" fillId="12" borderId="1" xfId="1" applyNumberFormat="1" applyFont="1" applyFill="1" applyBorder="1"/>
    <xf numFmtId="3" fontId="13" fillId="12" borderId="43" xfId="1" applyNumberFormat="1" applyFont="1" applyFill="1" applyBorder="1"/>
    <xf numFmtId="2" fontId="11" fillId="9" borderId="1" xfId="0" applyNumberFormat="1" applyFont="1" applyFill="1" applyBorder="1"/>
    <xf numFmtId="43" fontId="12" fillId="12" borderId="28" xfId="2" applyFont="1" applyFill="1" applyBorder="1" applyAlignment="1">
      <alignment horizontal="right"/>
    </xf>
    <xf numFmtId="43" fontId="12" fillId="12" borderId="14" xfId="2" applyFont="1" applyFill="1" applyBorder="1" applyAlignment="1">
      <alignment horizontal="right"/>
    </xf>
    <xf numFmtId="43" fontId="4" fillId="12" borderId="0" xfId="2" applyFont="1" applyFill="1" applyAlignment="1">
      <alignment horizontal="right"/>
    </xf>
    <xf numFmtId="3" fontId="4" fillId="12" borderId="23" xfId="0" applyNumberFormat="1" applyFont="1" applyFill="1" applyBorder="1"/>
    <xf numFmtId="3" fontId="4" fillId="12" borderId="14" xfId="0" applyNumberFormat="1" applyFont="1" applyFill="1" applyBorder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20" fillId="0" borderId="0" xfId="0" applyNumberFormat="1" applyFont="1" applyAlignment="1">
      <alignment vertical="center" wrapText="1"/>
    </xf>
    <xf numFmtId="0" fontId="23" fillId="15" borderId="1" xfId="0" applyFont="1" applyFill="1" applyBorder="1" applyAlignment="1">
      <alignment horizontal="center" vertical="center" wrapText="1"/>
    </xf>
    <xf numFmtId="43" fontId="21" fillId="14" borderId="1" xfId="2" applyFont="1" applyFill="1" applyBorder="1" applyAlignment="1">
      <alignment vertical="center" wrapText="1"/>
    </xf>
    <xf numFmtId="0" fontId="10" fillId="16" borderId="2" xfId="1" applyFont="1" applyFill="1" applyBorder="1" applyAlignment="1">
      <alignment horizontal="right"/>
    </xf>
    <xf numFmtId="3" fontId="13" fillId="16" borderId="2" xfId="1" applyNumberFormat="1" applyFont="1" applyFill="1" applyBorder="1"/>
    <xf numFmtId="4" fontId="14" fillId="16" borderId="22" xfId="1" applyNumberFormat="1" applyFont="1" applyFill="1" applyBorder="1"/>
    <xf numFmtId="3" fontId="13" fillId="16" borderId="18" xfId="1" applyNumberFormat="1" applyFont="1" applyFill="1" applyBorder="1"/>
    <xf numFmtId="3" fontId="13" fillId="16" borderId="26" xfId="1" applyNumberFormat="1" applyFont="1" applyFill="1" applyBorder="1"/>
    <xf numFmtId="0" fontId="10" fillId="16" borderId="5" xfId="1" applyFont="1" applyFill="1" applyBorder="1" applyAlignment="1">
      <alignment horizontal="right"/>
    </xf>
    <xf numFmtId="3" fontId="13" fillId="16" borderId="5" xfId="1" applyNumberFormat="1" applyFont="1" applyFill="1" applyBorder="1"/>
    <xf numFmtId="4" fontId="14" fillId="16" borderId="1" xfId="1" applyNumberFormat="1" applyFont="1" applyFill="1" applyBorder="1"/>
    <xf numFmtId="3" fontId="13" fillId="16" borderId="19" xfId="1" applyNumberFormat="1" applyFont="1" applyFill="1" applyBorder="1"/>
    <xf numFmtId="3" fontId="13" fillId="16" borderId="25" xfId="1" applyNumberFormat="1" applyFont="1" applyFill="1" applyBorder="1"/>
    <xf numFmtId="0" fontId="10" fillId="16" borderId="7" xfId="1" applyFont="1" applyFill="1" applyBorder="1" applyAlignment="1">
      <alignment horizontal="right"/>
    </xf>
    <xf numFmtId="3" fontId="13" fillId="16" borderId="7" xfId="1" applyNumberFormat="1" applyFont="1" applyFill="1" applyBorder="1"/>
    <xf numFmtId="4" fontId="14" fillId="16" borderId="32" xfId="1" applyNumberFormat="1" applyFont="1" applyFill="1" applyBorder="1"/>
    <xf numFmtId="3" fontId="13" fillId="16" borderId="15" xfId="1" applyNumberFormat="1" applyFont="1" applyFill="1" applyBorder="1"/>
    <xf numFmtId="0" fontId="8" fillId="2" borderId="47" xfId="1" applyFont="1" applyFill="1" applyBorder="1" applyAlignment="1">
      <alignment horizontal="center"/>
    </xf>
    <xf numFmtId="0" fontId="18" fillId="10" borderId="20" xfId="0" applyFont="1" applyFill="1" applyBorder="1" applyAlignment="1">
      <alignment horizontal="center" wrapText="1"/>
    </xf>
    <xf numFmtId="0" fontId="17" fillId="8" borderId="25" xfId="1" applyFont="1" applyFill="1" applyBorder="1" applyAlignment="1">
      <alignment horizontal="center" wrapText="1"/>
    </xf>
    <xf numFmtId="0" fontId="18" fillId="11" borderId="20" xfId="0" applyFont="1" applyFill="1" applyBorder="1" applyAlignment="1">
      <alignment horizontal="center" wrapText="1"/>
    </xf>
    <xf numFmtId="0" fontId="10" fillId="13" borderId="20" xfId="0" applyFont="1" applyFill="1" applyBorder="1" applyAlignment="1">
      <alignment horizontal="center"/>
    </xf>
    <xf numFmtId="2" fontId="10" fillId="9" borderId="20" xfId="0" applyNumberFormat="1" applyFont="1" applyFill="1" applyBorder="1" applyAlignment="1">
      <alignment horizontal="center"/>
    </xf>
    <xf numFmtId="165" fontId="23" fillId="15" borderId="1" xfId="2" applyNumberFormat="1" applyFont="1" applyFill="1" applyBorder="1" applyAlignment="1">
      <alignment horizontal="center" vertical="center" wrapText="1"/>
    </xf>
    <xf numFmtId="165" fontId="21" fillId="4" borderId="7" xfId="2" applyNumberFormat="1" applyFont="1" applyFill="1" applyBorder="1" applyAlignment="1">
      <alignment horizontal="right"/>
    </xf>
    <xf numFmtId="3" fontId="12" fillId="13" borderId="1" xfId="0" applyNumberFormat="1" applyFont="1" applyFill="1" applyBorder="1"/>
    <xf numFmtId="3" fontId="14" fillId="16" borderId="26" xfId="1" applyNumberFormat="1" applyFont="1" applyFill="1" applyBorder="1"/>
    <xf numFmtId="3" fontId="14" fillId="16" borderId="42" xfId="1" applyNumberFormat="1" applyFont="1" applyFill="1" applyBorder="1"/>
    <xf numFmtId="3" fontId="14" fillId="16" borderId="44" xfId="1" applyNumberFormat="1" applyFont="1" applyFill="1" applyBorder="1"/>
    <xf numFmtId="3" fontId="14" fillId="4" borderId="45" xfId="1" applyNumberFormat="1" applyFont="1" applyFill="1" applyBorder="1"/>
    <xf numFmtId="3" fontId="24" fillId="8" borderId="43" xfId="1" applyNumberFormat="1" applyFont="1" applyFill="1" applyBorder="1"/>
    <xf numFmtId="4" fontId="24" fillId="8" borderId="22" xfId="1" applyNumberFormat="1" applyFont="1" applyFill="1" applyBorder="1"/>
    <xf numFmtId="165" fontId="22" fillId="4" borderId="4" xfId="2" applyNumberFormat="1" applyFont="1" applyFill="1" applyBorder="1" applyAlignment="1"/>
    <xf numFmtId="165" fontId="22" fillId="4" borderId="5" xfId="2" applyNumberFormat="1" applyFont="1" applyFill="1" applyBorder="1" applyAlignment="1"/>
    <xf numFmtId="165" fontId="12" fillId="4" borderId="5" xfId="2" applyNumberFormat="1" applyFont="1" applyFill="1" applyBorder="1" applyAlignment="1"/>
    <xf numFmtId="3" fontId="12" fillId="17" borderId="1" xfId="0" applyNumberFormat="1" applyFont="1" applyFill="1" applyBorder="1"/>
    <xf numFmtId="2" fontId="12" fillId="9" borderId="1" xfId="0" applyNumberFormat="1" applyFont="1" applyFill="1" applyBorder="1"/>
    <xf numFmtId="2" fontId="14" fillId="16" borderId="1" xfId="0" applyNumberFormat="1" applyFont="1" applyFill="1" applyBorder="1"/>
    <xf numFmtId="2" fontId="14" fillId="9" borderId="1" xfId="0" applyNumberFormat="1" applyFont="1" applyFill="1" applyBorder="1"/>
    <xf numFmtId="3" fontId="24" fillId="8" borderId="2" xfId="1" applyNumberFormat="1" applyFont="1" applyFill="1" applyBorder="1"/>
    <xf numFmtId="0" fontId="25" fillId="4" borderId="1" xfId="0" applyFont="1" applyFill="1" applyBorder="1" applyAlignment="1">
      <alignment horizontal="center" vertical="center" wrapText="1"/>
    </xf>
    <xf numFmtId="3" fontId="13" fillId="18" borderId="42" xfId="1" applyNumberFormat="1" applyFont="1" applyFill="1" applyBorder="1"/>
    <xf numFmtId="3" fontId="7" fillId="18" borderId="4" xfId="1" applyNumberFormat="1" applyFont="1" applyFill="1" applyBorder="1"/>
    <xf numFmtId="0" fontId="8" fillId="18" borderId="24" xfId="1" applyFont="1" applyFill="1" applyBorder="1" applyAlignment="1">
      <alignment horizontal="center"/>
    </xf>
    <xf numFmtId="0" fontId="8" fillId="18" borderId="16" xfId="1" applyFont="1" applyFill="1" applyBorder="1" applyAlignment="1">
      <alignment horizontal="center"/>
    </xf>
    <xf numFmtId="0" fontId="10" fillId="18" borderId="10" xfId="1" applyFont="1" applyFill="1" applyBorder="1" applyAlignment="1">
      <alignment horizontal="center"/>
    </xf>
    <xf numFmtId="0" fontId="10" fillId="18" borderId="9" xfId="1" applyFont="1" applyFill="1" applyBorder="1" applyAlignment="1">
      <alignment horizontal="center"/>
    </xf>
    <xf numFmtId="3" fontId="24" fillId="8" borderId="0" xfId="1" applyNumberFormat="1" applyFont="1" applyFill="1"/>
    <xf numFmtId="3" fontId="24" fillId="8" borderId="12" xfId="1" applyNumberFormat="1" applyFont="1" applyFill="1" applyBorder="1"/>
    <xf numFmtId="3" fontId="12" fillId="19" borderId="5" xfId="1" applyNumberFormat="1" applyFont="1" applyFill="1" applyBorder="1"/>
    <xf numFmtId="3" fontId="8" fillId="19" borderId="10" xfId="1" applyNumberFormat="1" applyFont="1" applyFill="1" applyBorder="1" applyAlignment="1">
      <alignment horizontal="center"/>
    </xf>
    <xf numFmtId="14" fontId="8" fillId="19" borderId="9" xfId="1" applyNumberFormat="1" applyFont="1" applyFill="1" applyBorder="1" applyAlignment="1" applyProtection="1">
      <alignment horizontal="center"/>
      <protection locked="0"/>
    </xf>
    <xf numFmtId="3" fontId="7" fillId="19" borderId="5" xfId="1" applyNumberFormat="1" applyFont="1" applyFill="1" applyBorder="1"/>
    <xf numFmtId="4" fontId="12" fillId="20" borderId="1" xfId="1" applyNumberFormat="1" applyFont="1" applyFill="1" applyBorder="1"/>
    <xf numFmtId="4" fontId="12" fillId="20" borderId="29" xfId="1" applyNumberFormat="1" applyFont="1" applyFill="1" applyBorder="1" applyAlignment="1">
      <alignment horizontal="right"/>
    </xf>
    <xf numFmtId="14" fontId="14" fillId="20" borderId="36" xfId="1" applyNumberFormat="1" applyFont="1" applyFill="1" applyBorder="1" applyAlignment="1" applyProtection="1">
      <alignment horizontal="center"/>
      <protection locked="0"/>
    </xf>
    <xf numFmtId="4" fontId="7" fillId="20" borderId="11" xfId="1" applyNumberFormat="1" applyFont="1" applyFill="1" applyBorder="1"/>
    <xf numFmtId="3" fontId="7" fillId="20" borderId="39" xfId="1" applyNumberFormat="1" applyFont="1" applyFill="1" applyBorder="1"/>
    <xf numFmtId="4" fontId="7" fillId="20" borderId="21" xfId="1" applyNumberFormat="1" applyFont="1" applyFill="1" applyBorder="1"/>
    <xf numFmtId="3" fontId="7" fillId="20" borderId="38" xfId="1" applyNumberFormat="1" applyFont="1" applyFill="1" applyBorder="1"/>
    <xf numFmtId="3" fontId="13" fillId="8" borderId="8" xfId="1" applyNumberFormat="1" applyFont="1" applyFill="1" applyBorder="1"/>
    <xf numFmtId="0" fontId="19" fillId="4" borderId="1" xfId="0" applyFont="1" applyFill="1" applyBorder="1" applyAlignment="1">
      <alignment horizontal="center" vertical="center"/>
    </xf>
    <xf numFmtId="43" fontId="21" fillId="21" borderId="1" xfId="2" applyFont="1" applyFill="1" applyBorder="1" applyAlignment="1">
      <alignment vertical="center" wrapText="1"/>
    </xf>
  </cellXfs>
  <cellStyles count="3">
    <cellStyle name="Millares" xfId="2" builtinId="3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78CDD1"/>
      <color rgb="FFFDE9D9"/>
      <color rgb="FFFCD5B4"/>
      <color rgb="FFC4BD97"/>
      <color rgb="FF725690"/>
      <color rgb="FF8C00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"/>
  <sheetViews>
    <sheetView tabSelected="1" topLeftCell="A4" zoomScale="80" zoomScaleNormal="80" workbookViewId="0">
      <selection activeCell="I26" sqref="I26:I27"/>
    </sheetView>
  </sheetViews>
  <sheetFormatPr baseColWidth="10" defaultColWidth="9.1796875" defaultRowHeight="20" x14ac:dyDescent="0.55000000000000004"/>
  <cols>
    <col min="1" max="1" width="26.453125" style="2" customWidth="1"/>
    <col min="2" max="2" width="13.81640625" style="2" customWidth="1"/>
    <col min="3" max="3" width="15.7265625" style="94" customWidth="1"/>
    <col min="4" max="4" width="14.36328125" style="95" customWidth="1"/>
    <col min="5" max="5" width="12" style="95" customWidth="1"/>
    <col min="6" max="6" width="12" style="2" customWidth="1"/>
    <col min="7" max="7" width="10.81640625" style="2" customWidth="1"/>
    <col min="8" max="8" width="8.1796875" style="96" customWidth="1"/>
    <col min="9" max="9" width="15.7265625" style="2" customWidth="1"/>
    <col min="10" max="10" width="10.26953125" style="2" customWidth="1"/>
    <col min="11" max="11" width="16.7265625" style="2" customWidth="1"/>
    <col min="12" max="16384" width="9.1796875" style="2"/>
  </cols>
  <sheetData>
    <row r="1" spans="1:11" ht="32.5" x14ac:dyDescent="0.85">
      <c r="A1" s="1" t="s">
        <v>59</v>
      </c>
      <c r="C1" s="3"/>
      <c r="D1" s="4"/>
      <c r="E1" s="4"/>
      <c r="H1" s="2"/>
    </row>
    <row r="2" spans="1:11" ht="26" x14ac:dyDescent="0.65">
      <c r="A2" s="5" t="s">
        <v>60</v>
      </c>
      <c r="B2" s="6"/>
      <c r="C2" s="7"/>
      <c r="D2" s="8"/>
      <c r="E2" s="8"/>
      <c r="F2" s="6"/>
      <c r="G2" s="6"/>
      <c r="H2" s="2"/>
    </row>
    <row r="3" spans="1:11" ht="26.5" customHeight="1" thickBot="1" x14ac:dyDescent="0.7">
      <c r="A3" s="9"/>
      <c r="B3" s="6"/>
      <c r="C3" s="7"/>
      <c r="D3" s="8"/>
      <c r="E3" s="8"/>
      <c r="F3" s="6"/>
      <c r="G3" s="6"/>
      <c r="H3" s="2"/>
    </row>
    <row r="4" spans="1:11" ht="33" x14ac:dyDescent="0.55000000000000004">
      <c r="A4" s="130" t="s">
        <v>0</v>
      </c>
      <c r="B4" s="174" t="s">
        <v>74</v>
      </c>
      <c r="C4" s="174"/>
      <c r="D4" s="174"/>
      <c r="E4" s="174"/>
      <c r="F4" s="174"/>
      <c r="G4" s="174"/>
      <c r="H4" s="2"/>
      <c r="I4" s="153" t="s">
        <v>75</v>
      </c>
      <c r="J4" s="156" t="s">
        <v>31</v>
      </c>
    </row>
    <row r="5" spans="1:11" ht="33" customHeight="1" thickBot="1" x14ac:dyDescent="0.6">
      <c r="A5" s="16" t="s">
        <v>21</v>
      </c>
      <c r="B5" s="131" t="s">
        <v>70</v>
      </c>
      <c r="C5" s="132" t="s">
        <v>71</v>
      </c>
      <c r="D5" s="132" t="s">
        <v>72</v>
      </c>
      <c r="E5" s="133" t="s">
        <v>73</v>
      </c>
      <c r="F5" s="134" t="s">
        <v>69</v>
      </c>
      <c r="G5" s="135" t="s">
        <v>33</v>
      </c>
      <c r="H5" s="2"/>
      <c r="I5" s="114" t="s">
        <v>78</v>
      </c>
      <c r="J5" s="157" t="s">
        <v>55</v>
      </c>
    </row>
    <row r="6" spans="1:11" x14ac:dyDescent="0.55000000000000004">
      <c r="A6" s="22" t="s">
        <v>2</v>
      </c>
      <c r="B6" s="23">
        <v>40000</v>
      </c>
      <c r="C6" s="97">
        <v>56749</v>
      </c>
      <c r="D6" s="104">
        <v>10322</v>
      </c>
      <c r="E6" s="24">
        <v>67071</v>
      </c>
      <c r="F6" s="148">
        <f>B6-E6</f>
        <v>-27071</v>
      </c>
      <c r="G6" s="149">
        <f>F6/B6*100</f>
        <v>-67.677499999999995</v>
      </c>
      <c r="H6" s="2"/>
      <c r="I6" s="115">
        <v>68000</v>
      </c>
      <c r="J6" s="23">
        <f>I6/90</f>
        <v>755.55555555555554</v>
      </c>
    </row>
    <row r="7" spans="1:11" x14ac:dyDescent="0.55000000000000004">
      <c r="A7" s="25" t="s">
        <v>23</v>
      </c>
      <c r="B7" s="26">
        <v>40000</v>
      </c>
      <c r="C7" s="98">
        <v>11395</v>
      </c>
      <c r="D7" s="105">
        <v>2218</v>
      </c>
      <c r="E7" s="27">
        <v>13613</v>
      </c>
      <c r="F7" s="138">
        <f t="shared" ref="F7:F36" si="0">B7-E7</f>
        <v>26387</v>
      </c>
      <c r="G7" s="149">
        <f t="shared" ref="G7:G38" si="1">F7/B7*100</f>
        <v>65.967500000000001</v>
      </c>
      <c r="H7" s="2"/>
      <c r="I7" s="115">
        <v>15000</v>
      </c>
      <c r="J7" s="23">
        <f t="shared" ref="J7:J11" si="2">I7/90</f>
        <v>166.66666666666666</v>
      </c>
    </row>
    <row r="8" spans="1:11" x14ac:dyDescent="0.55000000000000004">
      <c r="A8" s="25" t="s">
        <v>32</v>
      </c>
      <c r="B8" s="26">
        <v>35000</v>
      </c>
      <c r="C8" s="98">
        <v>19762.060000000001</v>
      </c>
      <c r="D8" s="105">
        <v>3028</v>
      </c>
      <c r="E8" s="27">
        <v>22790</v>
      </c>
      <c r="F8" s="138">
        <f t="shared" si="0"/>
        <v>12210</v>
      </c>
      <c r="G8" s="149">
        <f t="shared" si="1"/>
        <v>34.885714285714286</v>
      </c>
      <c r="H8" s="2"/>
      <c r="I8" s="115">
        <v>35000</v>
      </c>
      <c r="J8" s="23">
        <f t="shared" si="2"/>
        <v>388.88888888888891</v>
      </c>
    </row>
    <row r="9" spans="1:11" x14ac:dyDescent="0.55000000000000004">
      <c r="A9" s="25" t="s">
        <v>3</v>
      </c>
      <c r="B9" s="26">
        <v>30000</v>
      </c>
      <c r="C9" s="98">
        <f>9470+5980</f>
        <v>15450</v>
      </c>
      <c r="D9" s="105">
        <v>3052</v>
      </c>
      <c r="E9" s="27">
        <v>18502</v>
      </c>
      <c r="F9" s="138">
        <f t="shared" si="0"/>
        <v>11498</v>
      </c>
      <c r="G9" s="149">
        <f t="shared" si="1"/>
        <v>38.326666666666668</v>
      </c>
      <c r="H9" s="2"/>
      <c r="I9" s="115">
        <v>25000</v>
      </c>
      <c r="J9" s="23">
        <f t="shared" si="2"/>
        <v>277.77777777777777</v>
      </c>
    </row>
    <row r="10" spans="1:11" x14ac:dyDescent="0.55000000000000004">
      <c r="A10" s="28" t="s">
        <v>25</v>
      </c>
      <c r="B10" s="26">
        <v>30000</v>
      </c>
      <c r="C10" s="98">
        <f>2248+15619</f>
        <v>17867</v>
      </c>
      <c r="D10" s="105">
        <v>2586</v>
      </c>
      <c r="E10" s="27">
        <v>18433</v>
      </c>
      <c r="F10" s="138">
        <f t="shared" si="0"/>
        <v>11567</v>
      </c>
      <c r="G10" s="149">
        <f t="shared" si="1"/>
        <v>38.556666666666665</v>
      </c>
      <c r="H10" s="2"/>
      <c r="I10" s="115">
        <v>22000</v>
      </c>
      <c r="J10" s="23">
        <f t="shared" si="2"/>
        <v>244.44444444444446</v>
      </c>
    </row>
    <row r="11" spans="1:11" x14ac:dyDescent="0.55000000000000004">
      <c r="A11" s="25" t="s">
        <v>4</v>
      </c>
      <c r="B11" s="26">
        <v>500000</v>
      </c>
      <c r="C11" s="98">
        <v>300789.53000000003</v>
      </c>
      <c r="D11" s="105">
        <v>59564</v>
      </c>
      <c r="E11" s="27">
        <v>360354</v>
      </c>
      <c r="F11" s="148">
        <f t="shared" si="0"/>
        <v>139646</v>
      </c>
      <c r="G11" s="149">
        <f t="shared" si="1"/>
        <v>27.929199999999998</v>
      </c>
      <c r="H11" s="2"/>
      <c r="I11" s="175">
        <v>400000</v>
      </c>
      <c r="J11" s="23">
        <f t="shared" si="2"/>
        <v>4444.4444444444443</v>
      </c>
    </row>
    <row r="12" spans="1:11" ht="20.5" thickBot="1" x14ac:dyDescent="0.6">
      <c r="A12" s="29" t="s">
        <v>18</v>
      </c>
      <c r="B12" s="30">
        <v>30000</v>
      </c>
      <c r="C12" s="98">
        <v>4720</v>
      </c>
      <c r="D12" s="106">
        <v>1072</v>
      </c>
      <c r="E12" s="137">
        <v>5792</v>
      </c>
      <c r="F12" s="148">
        <f t="shared" si="0"/>
        <v>24208</v>
      </c>
      <c r="G12" s="149">
        <f t="shared" si="1"/>
        <v>80.693333333333328</v>
      </c>
      <c r="H12" s="2"/>
      <c r="I12" s="115">
        <v>15000</v>
      </c>
      <c r="J12" s="23">
        <f>I12/90</f>
        <v>166.66666666666666</v>
      </c>
    </row>
    <row r="13" spans="1:11" ht="20.5" thickBot="1" x14ac:dyDescent="0.6">
      <c r="A13" s="116" t="s">
        <v>26</v>
      </c>
      <c r="B13" s="117">
        <f t="shared" ref="B13:G13" si="3">SUM(B6:B12)</f>
        <v>705000</v>
      </c>
      <c r="C13" s="118">
        <f t="shared" si="3"/>
        <v>426732.59</v>
      </c>
      <c r="D13" s="119">
        <f t="shared" si="3"/>
        <v>81842</v>
      </c>
      <c r="E13" s="119">
        <f t="shared" si="3"/>
        <v>506555</v>
      </c>
      <c r="F13" s="139">
        <f t="shared" si="3"/>
        <v>198445</v>
      </c>
      <c r="G13" s="120">
        <f t="shared" si="3"/>
        <v>218.68158095238095</v>
      </c>
      <c r="H13" s="2"/>
      <c r="I13" s="120">
        <f>SUM(I6:I12)</f>
        <v>580000</v>
      </c>
      <c r="J13" s="155">
        <f>I13/90</f>
        <v>6444.4444444444443</v>
      </c>
    </row>
    <row r="14" spans="1:11" x14ac:dyDescent="0.55000000000000004">
      <c r="A14" s="31" t="s">
        <v>19</v>
      </c>
      <c r="B14" s="23">
        <v>150000</v>
      </c>
      <c r="C14" s="98">
        <f>18875+38620</f>
        <v>57495</v>
      </c>
      <c r="D14" s="107">
        <v>9996</v>
      </c>
      <c r="E14" s="145">
        <v>67491</v>
      </c>
      <c r="F14" s="138">
        <f t="shared" si="0"/>
        <v>82509</v>
      </c>
      <c r="G14" s="149">
        <f t="shared" si="1"/>
        <v>55.006</v>
      </c>
      <c r="H14" s="2"/>
      <c r="I14" s="115">
        <v>100000</v>
      </c>
      <c r="J14" s="23">
        <f t="shared" ref="J14:J21" si="4">I14/90</f>
        <v>1111.1111111111111</v>
      </c>
    </row>
    <row r="15" spans="1:11" x14ac:dyDescent="0.55000000000000004">
      <c r="A15" s="32" t="s">
        <v>41</v>
      </c>
      <c r="B15" s="26">
        <v>30000</v>
      </c>
      <c r="C15" s="98">
        <v>30000</v>
      </c>
      <c r="D15" s="108">
        <v>6000</v>
      </c>
      <c r="E15" s="146">
        <v>60000</v>
      </c>
      <c r="F15" s="148">
        <f t="shared" si="0"/>
        <v>-30000</v>
      </c>
      <c r="G15" s="149">
        <f t="shared" si="1"/>
        <v>-100</v>
      </c>
      <c r="H15" s="2"/>
      <c r="I15" s="115">
        <v>60000</v>
      </c>
      <c r="J15" s="23">
        <f t="shared" si="4"/>
        <v>666.66666666666663</v>
      </c>
    </row>
    <row r="16" spans="1:11" ht="20.149999999999999" customHeight="1" x14ac:dyDescent="0.55000000000000004">
      <c r="A16" s="25" t="s">
        <v>5</v>
      </c>
      <c r="B16" s="26">
        <v>1000</v>
      </c>
      <c r="C16" s="98">
        <v>655.6</v>
      </c>
      <c r="D16" s="100">
        <v>132</v>
      </c>
      <c r="E16" s="146">
        <v>788</v>
      </c>
      <c r="F16" s="138">
        <f t="shared" si="0"/>
        <v>212</v>
      </c>
      <c r="G16" s="149">
        <f t="shared" si="1"/>
        <v>21.2</v>
      </c>
      <c r="H16" s="6"/>
      <c r="I16" s="115">
        <v>1000</v>
      </c>
      <c r="J16" s="23">
        <f t="shared" si="4"/>
        <v>11.111111111111111</v>
      </c>
      <c r="K16" s="6"/>
    </row>
    <row r="17" spans="1:12" ht="20.149999999999999" customHeight="1" x14ac:dyDescent="0.55000000000000004">
      <c r="A17" s="28" t="s">
        <v>6</v>
      </c>
      <c r="B17" s="26">
        <v>30000</v>
      </c>
      <c r="C17" s="98">
        <f>12000+5655</f>
        <v>17655</v>
      </c>
      <c r="D17" s="99">
        <v>3052</v>
      </c>
      <c r="E17" s="147">
        <v>21592</v>
      </c>
      <c r="F17" s="138">
        <f t="shared" si="0"/>
        <v>8408</v>
      </c>
      <c r="G17" s="149">
        <f t="shared" si="1"/>
        <v>28.026666666666667</v>
      </c>
      <c r="H17" s="6"/>
      <c r="I17" s="115">
        <v>30000</v>
      </c>
      <c r="J17" s="23">
        <f t="shared" si="4"/>
        <v>333.33333333333331</v>
      </c>
      <c r="K17" s="6"/>
    </row>
    <row r="18" spans="1:12" ht="20.149999999999999" customHeight="1" x14ac:dyDescent="0.55000000000000004">
      <c r="A18" s="25" t="s">
        <v>46</v>
      </c>
      <c r="B18" s="26">
        <v>85000</v>
      </c>
      <c r="C18" s="98">
        <v>36011.9</v>
      </c>
      <c r="D18" s="99">
        <v>6884</v>
      </c>
      <c r="E18" s="147">
        <v>42905</v>
      </c>
      <c r="F18" s="138">
        <f t="shared" si="0"/>
        <v>42095</v>
      </c>
      <c r="G18" s="149">
        <f t="shared" si="1"/>
        <v>49.523529411764706</v>
      </c>
      <c r="H18" s="6"/>
      <c r="I18" s="115">
        <v>60000</v>
      </c>
      <c r="J18" s="23">
        <f t="shared" si="4"/>
        <v>666.66666666666663</v>
      </c>
      <c r="K18" s="6"/>
    </row>
    <row r="19" spans="1:12" ht="20.149999999999999" customHeight="1" x14ac:dyDescent="0.55000000000000004">
      <c r="A19" s="28" t="s">
        <v>7</v>
      </c>
      <c r="B19" s="26">
        <v>350000</v>
      </c>
      <c r="C19" s="98">
        <v>149254</v>
      </c>
      <c r="D19" s="99">
        <v>26892</v>
      </c>
      <c r="E19" s="147">
        <v>176146</v>
      </c>
      <c r="F19" s="138">
        <f t="shared" si="0"/>
        <v>173854</v>
      </c>
      <c r="G19" s="149">
        <f t="shared" si="1"/>
        <v>49.67257142857143</v>
      </c>
      <c r="H19" s="6"/>
      <c r="I19" s="175">
        <v>280000</v>
      </c>
      <c r="J19" s="23">
        <f t="shared" si="4"/>
        <v>3111.1111111111113</v>
      </c>
      <c r="K19" s="6"/>
    </row>
    <row r="20" spans="1:12" ht="20.149999999999999" customHeight="1" x14ac:dyDescent="0.55000000000000004">
      <c r="A20" s="33" t="s">
        <v>20</v>
      </c>
      <c r="B20" s="26">
        <v>30000</v>
      </c>
      <c r="C20" s="98">
        <v>37740.199999999997</v>
      </c>
      <c r="D20" s="99">
        <v>6070</v>
      </c>
      <c r="E20" s="147">
        <v>43810</v>
      </c>
      <c r="F20" s="148">
        <f t="shared" si="0"/>
        <v>-13810</v>
      </c>
      <c r="G20" s="149">
        <f t="shared" si="1"/>
        <v>-46.033333333333331</v>
      </c>
      <c r="H20" s="6"/>
      <c r="I20" s="115">
        <v>40000</v>
      </c>
      <c r="J20" s="23">
        <f t="shared" si="4"/>
        <v>444.44444444444446</v>
      </c>
      <c r="K20" s="6"/>
    </row>
    <row r="21" spans="1:12" ht="20.149999999999999" customHeight="1" x14ac:dyDescent="0.55000000000000004">
      <c r="A21" s="33" t="s">
        <v>47</v>
      </c>
      <c r="B21" s="26">
        <v>2000</v>
      </c>
      <c r="C21" s="98">
        <v>0</v>
      </c>
      <c r="D21" s="99">
        <v>0</v>
      </c>
      <c r="E21" s="147">
        <v>2000</v>
      </c>
      <c r="F21" s="138">
        <f t="shared" si="0"/>
        <v>0</v>
      </c>
      <c r="G21" s="149">
        <f t="shared" si="1"/>
        <v>0</v>
      </c>
      <c r="H21" s="6"/>
      <c r="I21" s="115">
        <v>2000</v>
      </c>
      <c r="J21" s="23">
        <f t="shared" si="4"/>
        <v>22.222222222222221</v>
      </c>
      <c r="K21" s="6"/>
    </row>
    <row r="22" spans="1:12" ht="20.149999999999999" customHeight="1" x14ac:dyDescent="0.55000000000000004">
      <c r="A22" s="121" t="s">
        <v>27</v>
      </c>
      <c r="B22" s="122">
        <f t="shared" ref="B22:G22" si="5">SUM(B14:B21)</f>
        <v>678000</v>
      </c>
      <c r="C22" s="123">
        <f t="shared" si="5"/>
        <v>328811.7</v>
      </c>
      <c r="D22" s="124">
        <f t="shared" si="5"/>
        <v>59026</v>
      </c>
      <c r="E22" s="124">
        <f t="shared" si="5"/>
        <v>414732</v>
      </c>
      <c r="F22" s="140">
        <f t="shared" si="5"/>
        <v>263268</v>
      </c>
      <c r="G22" s="125">
        <f t="shared" si="5"/>
        <v>57.395434173669472</v>
      </c>
      <c r="H22" s="6"/>
      <c r="I22" s="154">
        <f>SUM(I14:I21)</f>
        <v>573000</v>
      </c>
      <c r="J22" s="155">
        <f>I22/90</f>
        <v>6366.666666666667</v>
      </c>
      <c r="K22" s="6"/>
    </row>
    <row r="23" spans="1:12" ht="20.149999999999999" customHeight="1" x14ac:dyDescent="0.55000000000000004">
      <c r="A23" s="28" t="s">
        <v>22</v>
      </c>
      <c r="B23" s="26">
        <v>55000</v>
      </c>
      <c r="C23" s="101">
        <v>72857</v>
      </c>
      <c r="D23" s="99">
        <v>4000</v>
      </c>
      <c r="E23" s="27">
        <v>76857</v>
      </c>
      <c r="F23" s="148">
        <f t="shared" si="0"/>
        <v>-21857</v>
      </c>
      <c r="G23" s="149">
        <f t="shared" si="1"/>
        <v>-39.739999999999995</v>
      </c>
      <c r="H23" s="6"/>
      <c r="I23" s="115">
        <v>50000</v>
      </c>
      <c r="J23" s="23">
        <f t="shared" ref="J23:J36" si="6">I23/90</f>
        <v>555.55555555555554</v>
      </c>
      <c r="K23" s="6"/>
    </row>
    <row r="24" spans="1:12" ht="20.149999999999999" customHeight="1" x14ac:dyDescent="0.55000000000000004">
      <c r="A24" s="25" t="s">
        <v>36</v>
      </c>
      <c r="B24" s="26">
        <v>49000</v>
      </c>
      <c r="C24" s="101">
        <v>27573</v>
      </c>
      <c r="D24" s="99">
        <v>3000</v>
      </c>
      <c r="E24" s="27">
        <v>30573</v>
      </c>
      <c r="F24" s="138">
        <f t="shared" si="0"/>
        <v>18427</v>
      </c>
      <c r="G24" s="149">
        <f t="shared" si="1"/>
        <v>37.60612244897959</v>
      </c>
      <c r="H24" s="6"/>
      <c r="I24" s="115">
        <v>35000</v>
      </c>
      <c r="J24" s="23">
        <f t="shared" si="6"/>
        <v>388.88888888888891</v>
      </c>
      <c r="K24" s="6"/>
    </row>
    <row r="25" spans="1:12" ht="20.149999999999999" customHeight="1" x14ac:dyDescent="0.55000000000000004">
      <c r="A25" s="28" t="s">
        <v>8</v>
      </c>
      <c r="B25" s="26">
        <v>30000</v>
      </c>
      <c r="C25" s="101">
        <v>2780</v>
      </c>
      <c r="D25" s="99">
        <v>200</v>
      </c>
      <c r="E25" s="27">
        <v>15000</v>
      </c>
      <c r="F25" s="138">
        <f t="shared" si="0"/>
        <v>15000</v>
      </c>
      <c r="G25" s="149">
        <f t="shared" si="1"/>
        <v>50</v>
      </c>
      <c r="H25" s="6"/>
      <c r="I25" s="115">
        <v>20000</v>
      </c>
      <c r="J25" s="23">
        <f t="shared" si="6"/>
        <v>222.22222222222223</v>
      </c>
      <c r="K25" s="6"/>
    </row>
    <row r="26" spans="1:12" ht="20.149999999999999" customHeight="1" x14ac:dyDescent="0.55000000000000004">
      <c r="A26" s="28" t="s">
        <v>9</v>
      </c>
      <c r="B26" s="26">
        <v>200000</v>
      </c>
      <c r="C26" s="101">
        <v>10000</v>
      </c>
      <c r="D26" s="99">
        <v>0</v>
      </c>
      <c r="E26" s="27">
        <v>50000</v>
      </c>
      <c r="F26" s="138">
        <f t="shared" si="0"/>
        <v>150000</v>
      </c>
      <c r="G26" s="149">
        <f t="shared" si="1"/>
        <v>75</v>
      </c>
      <c r="H26" s="35"/>
      <c r="I26" s="175">
        <v>230000</v>
      </c>
      <c r="J26" s="23">
        <f t="shared" si="6"/>
        <v>2555.5555555555557</v>
      </c>
      <c r="K26" s="6"/>
    </row>
    <row r="27" spans="1:12" ht="20.149999999999999" customHeight="1" x14ac:dyDescent="0.55000000000000004">
      <c r="A27" s="25" t="s">
        <v>35</v>
      </c>
      <c r="B27" s="26">
        <v>100000</v>
      </c>
      <c r="C27" s="101">
        <v>212720</v>
      </c>
      <c r="D27" s="99">
        <v>8000</v>
      </c>
      <c r="E27" s="27">
        <v>220720</v>
      </c>
      <c r="F27" s="148">
        <f t="shared" si="0"/>
        <v>-120720</v>
      </c>
      <c r="G27" s="149">
        <f t="shared" si="1"/>
        <v>-120.72</v>
      </c>
      <c r="H27" s="35"/>
      <c r="I27" s="175">
        <v>255000</v>
      </c>
      <c r="J27" s="23">
        <f t="shared" si="6"/>
        <v>2833.3333333333335</v>
      </c>
    </row>
    <row r="28" spans="1:12" ht="20.149999999999999" customHeight="1" x14ac:dyDescent="0.55000000000000004">
      <c r="A28" s="36" t="s">
        <v>24</v>
      </c>
      <c r="B28" s="26">
        <v>0</v>
      </c>
      <c r="C28" s="101">
        <v>12780</v>
      </c>
      <c r="D28" s="99">
        <v>2000</v>
      </c>
      <c r="E28" s="27">
        <v>14780</v>
      </c>
      <c r="F28" s="148">
        <f t="shared" si="0"/>
        <v>-14780</v>
      </c>
      <c r="G28" s="149"/>
      <c r="H28" s="6"/>
      <c r="I28" s="115">
        <v>60000</v>
      </c>
      <c r="J28" s="23">
        <f t="shared" si="6"/>
        <v>666.66666666666663</v>
      </c>
      <c r="K28" s="7"/>
    </row>
    <row r="29" spans="1:12" ht="20.149999999999999" customHeight="1" x14ac:dyDescent="0.55000000000000004">
      <c r="A29" s="28" t="s">
        <v>40</v>
      </c>
      <c r="B29" s="26">
        <v>50000</v>
      </c>
      <c r="C29" s="101">
        <v>30900</v>
      </c>
      <c r="D29" s="99">
        <v>3000</v>
      </c>
      <c r="E29" s="27">
        <v>37000</v>
      </c>
      <c r="F29" s="138">
        <f t="shared" si="0"/>
        <v>13000</v>
      </c>
      <c r="G29" s="149">
        <f t="shared" si="1"/>
        <v>26</v>
      </c>
      <c r="H29" s="37"/>
      <c r="I29" s="115">
        <v>40000</v>
      </c>
      <c r="J29" s="23">
        <f t="shared" si="6"/>
        <v>444.44444444444446</v>
      </c>
      <c r="K29" s="37"/>
    </row>
    <row r="30" spans="1:12" ht="20.149999999999999" customHeight="1" x14ac:dyDescent="0.55000000000000004">
      <c r="A30" s="33" t="s">
        <v>10</v>
      </c>
      <c r="B30" s="26">
        <v>25000</v>
      </c>
      <c r="C30" s="101">
        <v>5415</v>
      </c>
      <c r="D30" s="99">
        <v>200</v>
      </c>
      <c r="E30" s="27">
        <v>5615</v>
      </c>
      <c r="F30" s="138">
        <f t="shared" si="0"/>
        <v>19385</v>
      </c>
      <c r="G30" s="149">
        <f t="shared" si="1"/>
        <v>77.539999999999992</v>
      </c>
      <c r="H30" s="6"/>
      <c r="I30" s="115">
        <v>8000</v>
      </c>
      <c r="J30" s="23">
        <f t="shared" si="6"/>
        <v>88.888888888888886</v>
      </c>
      <c r="K30" s="6"/>
    </row>
    <row r="31" spans="1:12" ht="20.149999999999999" customHeight="1" x14ac:dyDescent="0.55000000000000004">
      <c r="A31" s="33" t="s">
        <v>37</v>
      </c>
      <c r="B31" s="26">
        <v>300000</v>
      </c>
      <c r="C31" s="166">
        <v>45309</v>
      </c>
      <c r="D31" s="99">
        <v>9062</v>
      </c>
      <c r="E31" s="27">
        <v>54371</v>
      </c>
      <c r="F31" s="138">
        <f t="shared" si="0"/>
        <v>245629</v>
      </c>
      <c r="G31" s="149">
        <f t="shared" si="1"/>
        <v>81.876333333333335</v>
      </c>
      <c r="H31" s="109"/>
      <c r="I31" s="115">
        <v>150000</v>
      </c>
      <c r="J31" s="23">
        <f t="shared" si="6"/>
        <v>1666.6666666666667</v>
      </c>
      <c r="K31" s="109"/>
      <c r="L31" s="109"/>
    </row>
    <row r="32" spans="1:12" ht="20.149999999999999" customHeight="1" x14ac:dyDescent="0.55000000000000004">
      <c r="A32" s="33" t="s">
        <v>11</v>
      </c>
      <c r="B32" s="26">
        <v>10000</v>
      </c>
      <c r="C32" s="101">
        <v>0</v>
      </c>
      <c r="D32" s="99">
        <v>0</v>
      </c>
      <c r="E32" s="162">
        <v>500</v>
      </c>
      <c r="F32" s="138">
        <f t="shared" si="0"/>
        <v>9500</v>
      </c>
      <c r="G32" s="149">
        <f t="shared" si="1"/>
        <v>95</v>
      </c>
      <c r="H32" s="111"/>
      <c r="I32" s="115">
        <v>5000</v>
      </c>
      <c r="J32" s="23">
        <f t="shared" si="6"/>
        <v>55.555555555555557</v>
      </c>
      <c r="K32" s="112"/>
      <c r="L32" s="113"/>
    </row>
    <row r="33" spans="1:12" ht="20.149999999999999" customHeight="1" x14ac:dyDescent="0.55000000000000004">
      <c r="A33" s="33" t="s">
        <v>12</v>
      </c>
      <c r="B33" s="26">
        <v>40000</v>
      </c>
      <c r="C33" s="101">
        <v>29317</v>
      </c>
      <c r="D33" s="99">
        <v>5864</v>
      </c>
      <c r="E33" s="27">
        <v>35181</v>
      </c>
      <c r="F33" s="138">
        <f t="shared" si="0"/>
        <v>4819</v>
      </c>
      <c r="G33" s="149">
        <f t="shared" si="1"/>
        <v>12.047499999999999</v>
      </c>
      <c r="H33" s="111"/>
      <c r="I33" s="115">
        <v>50000</v>
      </c>
      <c r="J33" s="23">
        <f t="shared" si="6"/>
        <v>555.55555555555554</v>
      </c>
      <c r="K33" s="110"/>
      <c r="L33" s="113"/>
    </row>
    <row r="34" spans="1:12" ht="20.149999999999999" customHeight="1" x14ac:dyDescent="0.55000000000000004">
      <c r="A34" s="33" t="s">
        <v>13</v>
      </c>
      <c r="B34" s="26">
        <v>35000</v>
      </c>
      <c r="C34" s="101">
        <v>7710</v>
      </c>
      <c r="D34" s="99">
        <v>1542</v>
      </c>
      <c r="E34" s="27">
        <v>9252</v>
      </c>
      <c r="F34" s="138">
        <f t="shared" si="0"/>
        <v>25748</v>
      </c>
      <c r="G34" s="149">
        <f t="shared" si="1"/>
        <v>73.565714285714293</v>
      </c>
      <c r="H34" s="111"/>
      <c r="I34" s="115">
        <v>10000</v>
      </c>
      <c r="J34" s="23">
        <f t="shared" si="6"/>
        <v>111.11111111111111</v>
      </c>
      <c r="K34" s="112"/>
      <c r="L34" s="113"/>
    </row>
    <row r="35" spans="1:12" ht="20.149999999999999" customHeight="1" x14ac:dyDescent="0.55000000000000004">
      <c r="A35" s="33" t="s">
        <v>14</v>
      </c>
      <c r="B35" s="26">
        <v>30000</v>
      </c>
      <c r="C35" s="101">
        <f>900+8015</f>
        <v>8915</v>
      </c>
      <c r="D35" s="99">
        <v>1984</v>
      </c>
      <c r="E35" s="27">
        <v>11899</v>
      </c>
      <c r="F35" s="138">
        <f t="shared" si="0"/>
        <v>18101</v>
      </c>
      <c r="G35" s="149">
        <f t="shared" si="1"/>
        <v>60.336666666666673</v>
      </c>
      <c r="H35" s="111"/>
      <c r="I35" s="115">
        <v>15000</v>
      </c>
      <c r="J35" s="23">
        <f t="shared" si="6"/>
        <v>166.66666666666666</v>
      </c>
      <c r="K35" s="112"/>
      <c r="L35" s="113"/>
    </row>
    <row r="36" spans="1:12" ht="20.149999999999999" customHeight="1" x14ac:dyDescent="0.55000000000000004">
      <c r="A36" s="33" t="s">
        <v>48</v>
      </c>
      <c r="B36" s="26">
        <v>0</v>
      </c>
      <c r="C36" s="101">
        <v>0</v>
      </c>
      <c r="D36" s="99">
        <v>0</v>
      </c>
      <c r="E36" s="27">
        <v>0</v>
      </c>
      <c r="F36" s="138">
        <f t="shared" si="0"/>
        <v>0</v>
      </c>
      <c r="G36" s="103"/>
      <c r="H36" s="111"/>
      <c r="I36" s="115">
        <v>0</v>
      </c>
      <c r="J36" s="23">
        <f t="shared" si="6"/>
        <v>0</v>
      </c>
      <c r="K36" s="112"/>
      <c r="L36" s="113"/>
    </row>
    <row r="37" spans="1:12" ht="20.149999999999999" customHeight="1" thickBot="1" x14ac:dyDescent="0.6">
      <c r="A37" s="126" t="s">
        <v>28</v>
      </c>
      <c r="B37" s="127">
        <f>SUM(B23:B36)</f>
        <v>924000</v>
      </c>
      <c r="C37" s="128">
        <f>SUM(C23:C36)</f>
        <v>466276</v>
      </c>
      <c r="D37" s="129">
        <f t="shared" ref="D37:E37" si="7">SUM(D23:D36)</f>
        <v>38852</v>
      </c>
      <c r="E37" s="129">
        <f t="shared" si="7"/>
        <v>561748</v>
      </c>
      <c r="F37" s="141">
        <f>SUM(F23:F36)</f>
        <v>362252</v>
      </c>
      <c r="G37" s="150">
        <f t="shared" si="1"/>
        <v>39.204761904761902</v>
      </c>
      <c r="H37" s="111"/>
      <c r="I37" s="129">
        <f t="shared" ref="I37" si="8">SUM(I23:I36)</f>
        <v>928000</v>
      </c>
      <c r="J37" s="155">
        <f>I37/90</f>
        <v>10311.111111111111</v>
      </c>
      <c r="K37" s="110"/>
      <c r="L37" s="111"/>
    </row>
    <row r="38" spans="1:12" ht="28.5" customHeight="1" thickBot="1" x14ac:dyDescent="0.6">
      <c r="A38" s="38" t="s">
        <v>15</v>
      </c>
      <c r="B38" s="39">
        <f t="shared" ref="B38:I38" si="9">SUM(B13+B22+B37)</f>
        <v>2307000</v>
      </c>
      <c r="C38" s="144">
        <f t="shared" si="9"/>
        <v>1221820.29</v>
      </c>
      <c r="D38" s="102">
        <f t="shared" si="9"/>
        <v>179720</v>
      </c>
      <c r="E38" s="143">
        <f t="shared" si="9"/>
        <v>1483035</v>
      </c>
      <c r="F38" s="142">
        <f t="shared" si="9"/>
        <v>823965</v>
      </c>
      <c r="G38" s="151">
        <f t="shared" si="1"/>
        <v>35.715864759427831</v>
      </c>
      <c r="H38" s="6"/>
      <c r="I38" s="136">
        <f t="shared" si="9"/>
        <v>2081000</v>
      </c>
      <c r="J38" s="23">
        <f>I38/90</f>
        <v>23122.222222222223</v>
      </c>
      <c r="K38" s="6"/>
    </row>
    <row r="39" spans="1:12" ht="24" customHeight="1" x14ac:dyDescent="0.55000000000000004">
      <c r="A39" s="40"/>
      <c r="B39" s="41"/>
      <c r="C39" s="42"/>
      <c r="D39" s="43"/>
      <c r="E39" s="43"/>
      <c r="F39" s="41"/>
      <c r="G39" s="7"/>
      <c r="H39" s="6"/>
      <c r="I39" s="6"/>
      <c r="J39" s="6"/>
      <c r="K39" s="6"/>
    </row>
    <row r="40" spans="1:12" ht="24" customHeight="1" thickBot="1" x14ac:dyDescent="0.6">
      <c r="A40" s="40"/>
      <c r="B40" s="41"/>
      <c r="C40" s="42"/>
      <c r="D40" s="43"/>
      <c r="E40" s="43"/>
      <c r="F40" s="41"/>
      <c r="G40" s="7"/>
      <c r="H40" s="6"/>
      <c r="I40" s="6"/>
      <c r="J40" s="6"/>
      <c r="K40" s="6"/>
    </row>
    <row r="41" spans="1:12" ht="24" customHeight="1" x14ac:dyDescent="0.55000000000000004">
      <c r="A41" s="10" t="s">
        <v>0</v>
      </c>
      <c r="B41" s="11" t="s">
        <v>1</v>
      </c>
      <c r="C41" s="12" t="s">
        <v>29</v>
      </c>
      <c r="D41" s="13" t="s">
        <v>34</v>
      </c>
      <c r="E41" s="14" t="s">
        <v>57</v>
      </c>
      <c r="F41" s="15" t="s">
        <v>1</v>
      </c>
      <c r="G41" s="156" t="s">
        <v>31</v>
      </c>
      <c r="H41" s="6"/>
      <c r="I41" s="6"/>
      <c r="J41" s="6"/>
      <c r="K41" s="6"/>
    </row>
    <row r="42" spans="1:12" ht="24.75" customHeight="1" thickBot="1" x14ac:dyDescent="0.6">
      <c r="A42" s="16" t="s">
        <v>63</v>
      </c>
      <c r="B42" s="17" t="s">
        <v>45</v>
      </c>
      <c r="C42" s="18">
        <v>45961</v>
      </c>
      <c r="D42" s="19">
        <v>46022</v>
      </c>
      <c r="E42" s="20" t="s">
        <v>58</v>
      </c>
      <c r="F42" s="21" t="s">
        <v>54</v>
      </c>
      <c r="G42" s="157" t="s">
        <v>55</v>
      </c>
      <c r="H42" s="6"/>
      <c r="I42" s="6"/>
      <c r="J42" s="6"/>
      <c r="K42" s="6"/>
    </row>
    <row r="43" spans="1:12" ht="20.149999999999999" customHeight="1" x14ac:dyDescent="0.55000000000000004">
      <c r="A43" s="44" t="s">
        <v>76</v>
      </c>
      <c r="B43" s="45"/>
      <c r="D43" s="47"/>
      <c r="E43" s="48"/>
      <c r="F43" s="45">
        <v>80000</v>
      </c>
      <c r="G43" s="23">
        <f>F43/88</f>
        <v>909.09090909090912</v>
      </c>
      <c r="H43" s="6"/>
      <c r="I43" s="6"/>
      <c r="J43" s="6"/>
      <c r="K43" s="6"/>
    </row>
    <row r="44" spans="1:12" ht="20.149999999999999" customHeight="1" thickBot="1" x14ac:dyDescent="0.6">
      <c r="A44" s="44" t="s">
        <v>44</v>
      </c>
      <c r="B44" s="45">
        <v>40000</v>
      </c>
      <c r="C44" s="46">
        <v>21500</v>
      </c>
      <c r="D44" s="50"/>
      <c r="E44" s="46">
        <v>21500</v>
      </c>
      <c r="F44" s="45"/>
      <c r="G44" s="23">
        <f t="shared" ref="G44:G46" si="10">F44/88</f>
        <v>0</v>
      </c>
      <c r="H44" s="6"/>
      <c r="I44" s="6"/>
      <c r="J44" s="6"/>
      <c r="K44" s="6"/>
    </row>
    <row r="45" spans="1:12" ht="20.149999999999999" customHeight="1" x14ac:dyDescent="0.55000000000000004">
      <c r="A45" s="44" t="s">
        <v>61</v>
      </c>
      <c r="B45" s="45">
        <v>15000</v>
      </c>
      <c r="C45" s="46">
        <v>23900</v>
      </c>
      <c r="D45" s="52"/>
      <c r="E45" s="46">
        <v>23900</v>
      </c>
      <c r="F45" s="45">
        <v>55000</v>
      </c>
      <c r="G45" s="23">
        <f t="shared" si="10"/>
        <v>625</v>
      </c>
      <c r="H45" s="6"/>
      <c r="I45" s="6"/>
      <c r="J45" s="158" t="s">
        <v>31</v>
      </c>
      <c r="K45" s="6"/>
    </row>
    <row r="46" spans="1:12" ht="20.149999999999999" customHeight="1" x14ac:dyDescent="0.55000000000000004">
      <c r="A46" s="44" t="s">
        <v>38</v>
      </c>
      <c r="B46" s="45">
        <v>40000</v>
      </c>
      <c r="C46" s="46"/>
      <c r="D46" s="52"/>
      <c r="E46" s="51"/>
      <c r="F46" s="45"/>
      <c r="G46" s="23">
        <f t="shared" si="10"/>
        <v>0</v>
      </c>
      <c r="H46" s="6"/>
      <c r="I46" s="93" t="s">
        <v>77</v>
      </c>
      <c r="J46" s="6"/>
      <c r="K46" s="6"/>
    </row>
    <row r="47" spans="1:12" ht="20.149999999999999" customHeight="1" thickBot="1" x14ac:dyDescent="0.6">
      <c r="A47" s="53" t="s">
        <v>30</v>
      </c>
      <c r="B47" s="54">
        <f>SUM(B43:B46)</f>
        <v>95000</v>
      </c>
      <c r="C47" s="55">
        <f>SUM(C44:C46)</f>
        <v>45400</v>
      </c>
      <c r="D47" s="56">
        <f>SUM(D43:D46)</f>
        <v>0</v>
      </c>
      <c r="E47" s="55">
        <f>SUM(E44:E46)</f>
        <v>45400</v>
      </c>
      <c r="F47" s="161">
        <f>SUM(F43:F46)</f>
        <v>135000</v>
      </c>
      <c r="G47" s="57">
        <f>SUM(G43:G46)</f>
        <v>1534.090909090909</v>
      </c>
      <c r="H47" s="6"/>
      <c r="I47" s="160">
        <f>+I38+F47</f>
        <v>2216000</v>
      </c>
      <c r="J47" s="23">
        <f>I47/90</f>
        <v>24622.222222222223</v>
      </c>
      <c r="K47" s="6"/>
    </row>
    <row r="48" spans="1:12" ht="8.25" customHeight="1" x14ac:dyDescent="0.55000000000000004">
      <c r="A48" s="58"/>
      <c r="B48" s="59"/>
      <c r="C48" s="60"/>
      <c r="D48" s="61"/>
      <c r="E48" s="62"/>
      <c r="F48" s="63"/>
      <c r="G48" s="64"/>
      <c r="H48" s="6"/>
      <c r="I48" s="6"/>
      <c r="J48" s="6"/>
      <c r="K48" s="6"/>
    </row>
    <row r="49" spans="1:11" ht="17.25" hidden="1" customHeight="1" x14ac:dyDescent="0.55000000000000004">
      <c r="A49" s="65"/>
      <c r="B49" s="66"/>
      <c r="C49" s="49"/>
      <c r="D49" s="67"/>
      <c r="E49" s="50"/>
      <c r="F49" s="68"/>
      <c r="G49" s="69"/>
      <c r="H49" s="6"/>
      <c r="I49" s="6"/>
      <c r="J49" s="6"/>
      <c r="K49" s="6"/>
    </row>
    <row r="50" spans="1:11" ht="29.25" customHeight="1" thickBot="1" x14ac:dyDescent="0.6">
      <c r="A50" s="70" t="s">
        <v>62</v>
      </c>
      <c r="B50" s="71">
        <f>B38+B47</f>
        <v>2402000</v>
      </c>
      <c r="C50" s="72">
        <f>C38+C47</f>
        <v>1267220.29</v>
      </c>
      <c r="D50" s="71">
        <f>D38+D47</f>
        <v>179720</v>
      </c>
      <c r="E50" s="71"/>
      <c r="F50" s="71"/>
      <c r="G50" s="73"/>
      <c r="H50" s="6"/>
      <c r="I50" s="6"/>
      <c r="J50" s="6"/>
      <c r="K50" s="6"/>
    </row>
    <row r="51" spans="1:11" ht="24" customHeight="1" thickTop="1" x14ac:dyDescent="0.55000000000000004">
      <c r="A51" s="40"/>
      <c r="B51" s="41"/>
      <c r="C51" s="42"/>
      <c r="D51" s="43"/>
      <c r="E51" s="43"/>
      <c r="F51" s="41"/>
      <c r="G51" s="7"/>
      <c r="H51" s="6"/>
      <c r="I51" s="6"/>
      <c r="J51" s="6"/>
      <c r="K51" s="6"/>
    </row>
    <row r="52" spans="1:11" ht="24" customHeight="1" thickBot="1" x14ac:dyDescent="0.6">
      <c r="A52" s="40"/>
      <c r="B52" s="41"/>
      <c r="C52" s="42"/>
      <c r="D52" s="43"/>
      <c r="E52" s="43"/>
      <c r="F52" s="41"/>
      <c r="G52" s="7"/>
      <c r="H52" s="6"/>
      <c r="I52" s="6"/>
      <c r="J52" s="6"/>
      <c r="K52" s="6"/>
    </row>
    <row r="53" spans="1:11" ht="22.5" customHeight="1" x14ac:dyDescent="0.55000000000000004">
      <c r="A53" s="74" t="s">
        <v>0</v>
      </c>
      <c r="B53" s="75" t="s">
        <v>1</v>
      </c>
      <c r="C53" s="76" t="s">
        <v>29</v>
      </c>
      <c r="D53" s="77" t="s">
        <v>34</v>
      </c>
      <c r="E53" s="163" t="s">
        <v>57</v>
      </c>
      <c r="F53" s="75" t="s">
        <v>1</v>
      </c>
      <c r="G53" s="158" t="s">
        <v>31</v>
      </c>
      <c r="H53" s="78"/>
      <c r="I53" s="78"/>
      <c r="J53" s="78"/>
      <c r="K53" s="78"/>
    </row>
    <row r="54" spans="1:11" ht="22.5" customHeight="1" thickBot="1" x14ac:dyDescent="0.6">
      <c r="A54" s="79" t="s">
        <v>16</v>
      </c>
      <c r="B54" s="80" t="s">
        <v>45</v>
      </c>
      <c r="C54" s="81">
        <v>45961</v>
      </c>
      <c r="D54" s="82">
        <v>46022</v>
      </c>
      <c r="E54" s="164" t="s">
        <v>58</v>
      </c>
      <c r="F54" s="80" t="s">
        <v>54</v>
      </c>
      <c r="G54" s="159" t="s">
        <v>55</v>
      </c>
      <c r="H54" s="6"/>
      <c r="I54" s="6"/>
      <c r="J54" s="6"/>
      <c r="K54" s="6"/>
    </row>
    <row r="55" spans="1:11" ht="18" customHeight="1" x14ac:dyDescent="0.55000000000000004">
      <c r="A55" s="83" t="s">
        <v>49</v>
      </c>
      <c r="B55" s="84">
        <v>50000</v>
      </c>
      <c r="C55" s="167">
        <v>7000</v>
      </c>
      <c r="D55" s="168"/>
      <c r="E55" s="165">
        <f>+C55+D55</f>
        <v>7000</v>
      </c>
      <c r="F55" s="85"/>
      <c r="G55" s="23">
        <f t="shared" ref="G55" si="11">F55/90</f>
        <v>0</v>
      </c>
      <c r="H55" s="6"/>
      <c r="I55" s="6"/>
      <c r="J55" s="6"/>
      <c r="K55" s="6"/>
    </row>
    <row r="56" spans="1:11" x14ac:dyDescent="0.55000000000000004">
      <c r="A56" s="86" t="s">
        <v>39</v>
      </c>
      <c r="B56" s="26">
        <v>1671200</v>
      </c>
      <c r="C56" s="169">
        <v>1282000</v>
      </c>
      <c r="D56" s="170">
        <v>450000</v>
      </c>
      <c r="E56" s="165">
        <f>+C56+D56</f>
        <v>1732000</v>
      </c>
      <c r="F56" s="26">
        <v>1500000</v>
      </c>
      <c r="G56" s="23">
        <f>F56/90</f>
        <v>16666.666666666668</v>
      </c>
      <c r="H56" s="6"/>
      <c r="I56" s="6"/>
      <c r="J56" s="6"/>
      <c r="K56" s="6"/>
    </row>
    <row r="57" spans="1:11" x14ac:dyDescent="0.55000000000000004">
      <c r="A57" s="86" t="s">
        <v>53</v>
      </c>
      <c r="B57" s="87">
        <v>0</v>
      </c>
      <c r="C57" s="171">
        <v>16518.939999999999</v>
      </c>
      <c r="D57" s="172"/>
      <c r="E57" s="165">
        <f>+C57+D57</f>
        <v>16518.939999999999</v>
      </c>
      <c r="F57" s="87"/>
      <c r="G57" s="23">
        <f t="shared" ref="G57:G62" si="12">F57/90</f>
        <v>0</v>
      </c>
      <c r="H57" s="6"/>
      <c r="I57" s="6"/>
      <c r="J57" s="6"/>
      <c r="K57" s="6"/>
    </row>
    <row r="58" spans="1:11" x14ac:dyDescent="0.55000000000000004">
      <c r="A58" s="88" t="s">
        <v>50</v>
      </c>
      <c r="B58" s="26">
        <v>650000</v>
      </c>
      <c r="C58" s="169">
        <v>0</v>
      </c>
      <c r="D58" s="172"/>
      <c r="E58" s="165">
        <f t="shared" ref="E58:E62" si="13">+C58+D58</f>
        <v>0</v>
      </c>
      <c r="F58" s="26">
        <v>700000</v>
      </c>
      <c r="G58" s="23">
        <f t="shared" si="12"/>
        <v>7777.7777777777774</v>
      </c>
      <c r="H58" s="6"/>
      <c r="I58" s="6"/>
      <c r="J58" s="6"/>
      <c r="K58" s="6"/>
    </row>
    <row r="59" spans="1:11" x14ac:dyDescent="0.55000000000000004">
      <c r="A59" s="88" t="s">
        <v>51</v>
      </c>
      <c r="B59" s="26">
        <v>20000</v>
      </c>
      <c r="C59" s="169">
        <v>0</v>
      </c>
      <c r="D59" s="170"/>
      <c r="E59" s="165">
        <f t="shared" si="13"/>
        <v>0</v>
      </c>
      <c r="F59" s="26"/>
      <c r="G59" s="23">
        <f t="shared" si="12"/>
        <v>0</v>
      </c>
      <c r="H59" s="6"/>
      <c r="I59" s="6"/>
      <c r="J59" s="6"/>
      <c r="K59" s="6"/>
    </row>
    <row r="60" spans="1:11" x14ac:dyDescent="0.55000000000000004">
      <c r="A60" s="88" t="s">
        <v>42</v>
      </c>
      <c r="B60" s="26">
        <v>10000</v>
      </c>
      <c r="C60" s="169">
        <f>23450+90</f>
        <v>23540</v>
      </c>
      <c r="D60" s="170"/>
      <c r="E60" s="165">
        <f t="shared" si="13"/>
        <v>23540</v>
      </c>
      <c r="F60" s="26">
        <v>30000</v>
      </c>
      <c r="G60" s="23">
        <f t="shared" si="12"/>
        <v>333.33333333333331</v>
      </c>
      <c r="H60" s="6"/>
      <c r="I60" s="6"/>
      <c r="J60" s="6"/>
      <c r="K60" s="6"/>
    </row>
    <row r="61" spans="1:11" x14ac:dyDescent="0.55000000000000004">
      <c r="A61" s="86" t="s">
        <v>43</v>
      </c>
      <c r="B61" s="26">
        <v>800</v>
      </c>
      <c r="C61" s="169">
        <v>1109</v>
      </c>
      <c r="D61" s="170"/>
      <c r="E61" s="165">
        <f t="shared" si="13"/>
        <v>1109</v>
      </c>
      <c r="F61" s="26">
        <v>1000</v>
      </c>
      <c r="G61" s="23">
        <f t="shared" si="12"/>
        <v>11.111111111111111</v>
      </c>
      <c r="H61" s="6"/>
      <c r="I61" s="6"/>
      <c r="J61" s="6"/>
      <c r="K61" s="6"/>
    </row>
    <row r="62" spans="1:11" ht="20.5" thickBot="1" x14ac:dyDescent="0.6">
      <c r="A62" s="86" t="s">
        <v>52</v>
      </c>
      <c r="B62" s="87"/>
      <c r="C62" s="171"/>
      <c r="D62" s="172"/>
      <c r="E62" s="165">
        <f t="shared" si="13"/>
        <v>0</v>
      </c>
      <c r="F62" s="87"/>
      <c r="G62" s="23">
        <f t="shared" si="12"/>
        <v>0</v>
      </c>
      <c r="H62" s="6"/>
      <c r="I62" s="6"/>
      <c r="J62" s="6"/>
      <c r="K62" s="6"/>
    </row>
    <row r="63" spans="1:11" ht="27" customHeight="1" thickBot="1" x14ac:dyDescent="0.6">
      <c r="A63" s="89" t="s">
        <v>17</v>
      </c>
      <c r="B63" s="90">
        <f>SUM(B55:B62)</f>
        <v>2402000</v>
      </c>
      <c r="C63" s="91">
        <f>SUM(C55:C62)</f>
        <v>1330167.94</v>
      </c>
      <c r="D63" s="92">
        <f t="shared" ref="D63:F63" si="14">SUM(D55:D62)</f>
        <v>450000</v>
      </c>
      <c r="E63" s="173">
        <f t="shared" si="14"/>
        <v>1780167.94</v>
      </c>
      <c r="F63" s="152">
        <f t="shared" si="14"/>
        <v>2231000</v>
      </c>
      <c r="G63" s="90">
        <f>SUM(G55:G62)</f>
        <v>24788.888888888887</v>
      </c>
      <c r="H63" s="6"/>
      <c r="I63" s="6"/>
      <c r="J63" s="6"/>
      <c r="K63" s="6"/>
    </row>
    <row r="64" spans="1:11" x14ac:dyDescent="0.55000000000000004">
      <c r="A64" s="6"/>
      <c r="B64" s="8"/>
      <c r="C64" s="7"/>
      <c r="D64" s="8"/>
      <c r="E64" s="8"/>
      <c r="F64" s="8"/>
      <c r="G64" s="7"/>
      <c r="H64" s="6"/>
      <c r="I64" s="6"/>
      <c r="J64" s="6"/>
      <c r="K64" s="6"/>
    </row>
    <row r="65" spans="1:11" ht="20.149999999999999" customHeight="1" x14ac:dyDescent="0.55000000000000004">
      <c r="A65" s="6"/>
      <c r="B65" s="6"/>
      <c r="C65" s="7"/>
      <c r="D65" s="8"/>
      <c r="E65" s="8"/>
      <c r="F65" s="6"/>
      <c r="G65" s="6"/>
      <c r="H65" s="34"/>
      <c r="I65" s="6"/>
      <c r="J65" s="6"/>
      <c r="K65" s="6"/>
    </row>
    <row r="66" spans="1:11" ht="20.149999999999999" customHeight="1" x14ac:dyDescent="0.55000000000000004">
      <c r="A66" s="6"/>
      <c r="B66" s="6"/>
      <c r="C66" s="7"/>
      <c r="D66" s="8"/>
      <c r="E66" s="8"/>
      <c r="F66" s="6"/>
      <c r="G66" s="6"/>
      <c r="I66" s="6"/>
      <c r="J66" s="6"/>
      <c r="K66" s="6"/>
    </row>
    <row r="67" spans="1:11" x14ac:dyDescent="0.55000000000000004">
      <c r="A67" s="6" t="s">
        <v>56</v>
      </c>
      <c r="B67" s="6"/>
      <c r="C67" s="7"/>
      <c r="D67" s="8"/>
      <c r="E67" s="8"/>
      <c r="F67" s="6"/>
    </row>
    <row r="68" spans="1:11" x14ac:dyDescent="0.55000000000000004">
      <c r="A68" s="6"/>
      <c r="B68" s="6"/>
      <c r="C68" s="7"/>
      <c r="D68" s="8"/>
      <c r="E68" s="8"/>
      <c r="F68" s="6"/>
    </row>
    <row r="69" spans="1:11" x14ac:dyDescent="0.55000000000000004">
      <c r="A69" s="6"/>
      <c r="B69" s="6"/>
      <c r="C69" s="7"/>
      <c r="D69" s="7"/>
      <c r="E69" s="8"/>
    </row>
    <row r="70" spans="1:11" x14ac:dyDescent="0.55000000000000004">
      <c r="A70" s="8"/>
      <c r="B70" s="6"/>
      <c r="C70" s="7" t="s">
        <v>64</v>
      </c>
      <c r="D70" s="7"/>
      <c r="E70" s="8"/>
    </row>
    <row r="71" spans="1:11" x14ac:dyDescent="0.55000000000000004">
      <c r="A71" s="6"/>
      <c r="B71" s="6"/>
      <c r="C71" s="6" t="s">
        <v>65</v>
      </c>
      <c r="D71" s="7"/>
      <c r="E71" s="8"/>
    </row>
    <row r="72" spans="1:11" x14ac:dyDescent="0.55000000000000004">
      <c r="A72" s="6"/>
      <c r="B72" s="93" t="s">
        <v>68</v>
      </c>
      <c r="C72" s="6"/>
      <c r="D72" s="7"/>
      <c r="E72" s="8"/>
    </row>
    <row r="73" spans="1:11" x14ac:dyDescent="0.55000000000000004">
      <c r="A73" s="6"/>
      <c r="B73" s="6"/>
      <c r="C73" s="6"/>
      <c r="D73" s="7"/>
      <c r="E73" s="8"/>
    </row>
    <row r="74" spans="1:11" x14ac:dyDescent="0.55000000000000004">
      <c r="A74" s="6"/>
      <c r="B74" s="6"/>
      <c r="C74" s="6"/>
      <c r="D74" s="7"/>
      <c r="E74" s="8"/>
    </row>
    <row r="75" spans="1:11" x14ac:dyDescent="0.55000000000000004">
      <c r="A75" s="6"/>
      <c r="B75" s="6" t="s">
        <v>66</v>
      </c>
      <c r="C75" s="6"/>
      <c r="D75" s="7"/>
      <c r="E75" s="8"/>
    </row>
    <row r="76" spans="1:11" x14ac:dyDescent="0.55000000000000004">
      <c r="A76" s="6"/>
      <c r="B76" s="6" t="s">
        <v>67</v>
      </c>
      <c r="C76" s="6"/>
      <c r="D76" s="7"/>
      <c r="E76" s="8"/>
    </row>
    <row r="77" spans="1:11" x14ac:dyDescent="0.55000000000000004">
      <c r="A77" s="6"/>
      <c r="C77" s="7"/>
      <c r="D77" s="8"/>
      <c r="E77" s="8"/>
    </row>
    <row r="78" spans="1:11" x14ac:dyDescent="0.55000000000000004">
      <c r="A78" s="6"/>
      <c r="C78" s="7"/>
      <c r="D78" s="8"/>
      <c r="E78" s="8"/>
    </row>
    <row r="79" spans="1:11" x14ac:dyDescent="0.55000000000000004">
      <c r="A79" s="6"/>
      <c r="C79" s="7"/>
      <c r="D79" s="8"/>
      <c r="E79" s="8"/>
    </row>
    <row r="80" spans="1:11" x14ac:dyDescent="0.55000000000000004">
      <c r="A80" s="6"/>
      <c r="C80" s="7"/>
      <c r="D80" s="8"/>
      <c r="E80" s="8"/>
    </row>
    <row r="81" spans="1:5" x14ac:dyDescent="0.55000000000000004">
      <c r="A81" s="6"/>
      <c r="C81" s="7"/>
      <c r="D81" s="8"/>
      <c r="E81" s="8"/>
    </row>
    <row r="82" spans="1:5" x14ac:dyDescent="0.55000000000000004">
      <c r="A82" s="6"/>
      <c r="C82" s="7"/>
      <c r="D82" s="8"/>
      <c r="E82" s="8"/>
    </row>
    <row r="83" spans="1:5" x14ac:dyDescent="0.55000000000000004">
      <c r="A83" s="6"/>
      <c r="C83" s="7"/>
      <c r="D83" s="8"/>
      <c r="E83" s="8"/>
    </row>
    <row r="84" spans="1:5" x14ac:dyDescent="0.55000000000000004">
      <c r="A84" s="6"/>
      <c r="C84" s="7"/>
      <c r="D84" s="8"/>
      <c r="E84" s="8"/>
    </row>
    <row r="85" spans="1:5" x14ac:dyDescent="0.55000000000000004">
      <c r="A85" s="6"/>
      <c r="C85" s="7"/>
      <c r="D85" s="8"/>
      <c r="E85" s="8"/>
    </row>
    <row r="86" spans="1:5" x14ac:dyDescent="0.55000000000000004">
      <c r="A86" s="6"/>
      <c r="C86" s="7"/>
      <c r="D86" s="8"/>
      <c r="E86" s="8"/>
    </row>
    <row r="87" spans="1:5" x14ac:dyDescent="0.55000000000000004">
      <c r="A87" s="6"/>
      <c r="C87" s="7"/>
      <c r="D87" s="8"/>
      <c r="E87" s="8"/>
    </row>
    <row r="88" spans="1:5" x14ac:dyDescent="0.55000000000000004">
      <c r="A88" s="6"/>
      <c r="C88" s="7"/>
      <c r="D88" s="8"/>
      <c r="E88" s="8"/>
    </row>
    <row r="89" spans="1:5" x14ac:dyDescent="0.55000000000000004">
      <c r="A89" s="6"/>
      <c r="C89" s="7"/>
      <c r="D89" s="8"/>
      <c r="E89" s="8"/>
    </row>
    <row r="90" spans="1:5" x14ac:dyDescent="0.55000000000000004">
      <c r="A90" s="6"/>
      <c r="C90" s="7"/>
      <c r="D90" s="8"/>
      <c r="E90" s="8"/>
    </row>
    <row r="91" spans="1:5" x14ac:dyDescent="0.55000000000000004">
      <c r="A91" s="6"/>
      <c r="C91" s="7"/>
      <c r="D91" s="8"/>
      <c r="E91" s="8"/>
    </row>
    <row r="92" spans="1:5" x14ac:dyDescent="0.55000000000000004">
      <c r="A92" s="6"/>
      <c r="C92" s="7"/>
      <c r="D92" s="8"/>
      <c r="E92" s="8"/>
    </row>
    <row r="93" spans="1:5" x14ac:dyDescent="0.55000000000000004">
      <c r="A93" s="6"/>
      <c r="C93" s="7"/>
      <c r="D93" s="8"/>
      <c r="E93" s="8"/>
    </row>
    <row r="94" spans="1:5" x14ac:dyDescent="0.55000000000000004">
      <c r="A94" s="6"/>
      <c r="C94" s="7"/>
      <c r="D94" s="8"/>
      <c r="E94" s="8"/>
    </row>
    <row r="95" spans="1:5" x14ac:dyDescent="0.55000000000000004">
      <c r="A95" s="6"/>
      <c r="C95" s="7"/>
      <c r="D95" s="8"/>
      <c r="E95" s="8"/>
    </row>
    <row r="96" spans="1:5" x14ac:dyDescent="0.55000000000000004">
      <c r="A96" s="6"/>
      <c r="C96" s="7"/>
      <c r="D96" s="8"/>
      <c r="E96" s="8"/>
    </row>
    <row r="97" spans="1:5" x14ac:dyDescent="0.55000000000000004">
      <c r="A97" s="6"/>
      <c r="C97" s="7"/>
      <c r="D97" s="8"/>
      <c r="E97" s="8"/>
    </row>
    <row r="98" spans="1:5" x14ac:dyDescent="0.55000000000000004">
      <c r="A98" s="6"/>
      <c r="C98" s="7"/>
      <c r="D98" s="8"/>
      <c r="E98" s="8"/>
    </row>
    <row r="99" spans="1:5" x14ac:dyDescent="0.55000000000000004">
      <c r="A99" s="6"/>
      <c r="C99" s="7"/>
      <c r="D99" s="8"/>
      <c r="E99" s="8"/>
    </row>
    <row r="100" spans="1:5" x14ac:dyDescent="0.55000000000000004">
      <c r="A100" s="6"/>
      <c r="C100" s="7"/>
      <c r="D100" s="8"/>
      <c r="E100" s="8"/>
    </row>
    <row r="101" spans="1:5" x14ac:dyDescent="0.55000000000000004">
      <c r="A101" s="6"/>
      <c r="C101" s="7"/>
      <c r="D101" s="8"/>
      <c r="E101" s="8"/>
    </row>
    <row r="102" spans="1:5" x14ac:dyDescent="0.55000000000000004">
      <c r="A102" s="6"/>
      <c r="C102" s="7"/>
      <c r="D102" s="8"/>
      <c r="E102" s="8"/>
    </row>
    <row r="103" spans="1:5" x14ac:dyDescent="0.55000000000000004">
      <c r="A103" s="6"/>
      <c r="C103" s="7"/>
      <c r="D103" s="8"/>
      <c r="E103" s="8"/>
    </row>
    <row r="104" spans="1:5" x14ac:dyDescent="0.55000000000000004">
      <c r="A104" s="6"/>
      <c r="C104" s="7"/>
      <c r="D104" s="8"/>
      <c r="E104" s="8"/>
    </row>
    <row r="105" spans="1:5" x14ac:dyDescent="0.55000000000000004">
      <c r="A105" s="6"/>
      <c r="C105" s="7"/>
      <c r="D105" s="8"/>
      <c r="E105" s="8"/>
    </row>
    <row r="106" spans="1:5" x14ac:dyDescent="0.55000000000000004">
      <c r="A106" s="6"/>
      <c r="C106" s="7"/>
      <c r="D106" s="8"/>
      <c r="E106" s="8"/>
    </row>
    <row r="107" spans="1:5" x14ac:dyDescent="0.55000000000000004">
      <c r="A107" s="6"/>
      <c r="C107" s="7"/>
      <c r="D107" s="8"/>
      <c r="E107" s="8"/>
    </row>
    <row r="108" spans="1:5" x14ac:dyDescent="0.55000000000000004">
      <c r="A108" s="6"/>
      <c r="C108" s="7"/>
      <c r="D108" s="8"/>
      <c r="E108" s="8"/>
    </row>
    <row r="109" spans="1:5" x14ac:dyDescent="0.55000000000000004">
      <c r="A109" s="6"/>
      <c r="C109" s="7"/>
      <c r="D109" s="8"/>
      <c r="E109" s="8"/>
    </row>
    <row r="110" spans="1:5" x14ac:dyDescent="0.55000000000000004">
      <c r="A110" s="6"/>
    </row>
    <row r="111" spans="1:5" x14ac:dyDescent="0.55000000000000004">
      <c r="A111" s="6"/>
    </row>
    <row r="112" spans="1:5" x14ac:dyDescent="0.55000000000000004">
      <c r="A112" s="6"/>
    </row>
    <row r="113" spans="1:1" x14ac:dyDescent="0.55000000000000004">
      <c r="A113" s="6"/>
    </row>
    <row r="114" spans="1:1" x14ac:dyDescent="0.55000000000000004">
      <c r="A114" s="6"/>
    </row>
    <row r="115" spans="1:1" x14ac:dyDescent="0.55000000000000004">
      <c r="A115" s="6"/>
    </row>
    <row r="116" spans="1:1" x14ac:dyDescent="0.55000000000000004">
      <c r="A116" s="6"/>
    </row>
    <row r="117" spans="1:1" x14ac:dyDescent="0.55000000000000004">
      <c r="A117" s="6"/>
    </row>
    <row r="118" spans="1:1" x14ac:dyDescent="0.55000000000000004">
      <c r="A118" s="6"/>
    </row>
    <row r="119" spans="1:1" x14ac:dyDescent="0.55000000000000004">
      <c r="A119" s="6"/>
    </row>
    <row r="120" spans="1:1" x14ac:dyDescent="0.55000000000000004">
      <c r="A120" s="6"/>
    </row>
    <row r="121" spans="1:1" x14ac:dyDescent="0.55000000000000004">
      <c r="A121" s="6"/>
    </row>
    <row r="122" spans="1:1" x14ac:dyDescent="0.55000000000000004">
      <c r="A122" s="6"/>
    </row>
    <row r="123" spans="1:1" x14ac:dyDescent="0.55000000000000004">
      <c r="A123" s="6"/>
    </row>
    <row r="124" spans="1:1" x14ac:dyDescent="0.55000000000000004">
      <c r="A124" s="6"/>
    </row>
    <row r="125" spans="1:1" x14ac:dyDescent="0.55000000000000004">
      <c r="A125" s="6"/>
    </row>
    <row r="126" spans="1:1" x14ac:dyDescent="0.55000000000000004">
      <c r="A126" s="6"/>
    </row>
    <row r="127" spans="1:1" x14ac:dyDescent="0.55000000000000004">
      <c r="A127" s="6"/>
    </row>
    <row r="128" spans="1:1" x14ac:dyDescent="0.55000000000000004">
      <c r="A128" s="6"/>
    </row>
    <row r="129" spans="1:1" x14ac:dyDescent="0.55000000000000004">
      <c r="A129" s="6"/>
    </row>
  </sheetData>
  <mergeCells count="1">
    <mergeCell ref="B4:G4"/>
  </mergeCells>
  <pageMargins left="0.16" right="0.23" top="0.31" bottom="0.25" header="0.3" footer="0.3"/>
  <pageSetup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 25-Presup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eliss</cp:lastModifiedBy>
  <cp:lastPrinted>2025-11-07T04:55:05Z</cp:lastPrinted>
  <dcterms:created xsi:type="dcterms:W3CDTF">2018-12-11T05:56:22Z</dcterms:created>
  <dcterms:modified xsi:type="dcterms:W3CDTF">2025-11-15T10:54:37Z</dcterms:modified>
</cp:coreProperties>
</file>